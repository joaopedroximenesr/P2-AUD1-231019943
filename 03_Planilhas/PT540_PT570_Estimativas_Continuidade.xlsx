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540_ARO" sheetId="1" state="visible" r:id="rId1"/>
    <sheet xmlns:r="http://schemas.openxmlformats.org/officeDocument/2006/relationships" name="PT570_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x"/>
    <numFmt numFmtId="166" formatCode="#,##0.00;[Red]-#,##0.00"/>
    <numFmt numFmtId="167" formatCode="0.00x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2" borderId="0" pivotButton="0" quotePrefix="0" xfId="0"/>
    <xf numFmtId="2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8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PT 540 - Sensibilidade da provisão para abandono (NE 17) - R$ mil</t>
        </is>
      </c>
    </row>
    <row r="2">
      <c r="A2" t="inlineStr">
        <is>
          <t>Norma: NBC TA 540 (R2) itens 13, 18, 23-29, A114-A120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t="inlineStr">
        <is>
          <t>Choque de taxa (p.p.)</t>
        </is>
      </c>
      <c r="B5" s="2" t="n">
        <v>0.01</v>
      </c>
    </row>
    <row r="6">
      <c r="A6" t="inlineStr">
        <is>
          <t>Choque de custo (%)</t>
        </is>
      </c>
      <c r="B6" s="2" t="n">
        <v>0.1</v>
      </c>
    </row>
    <row r="7">
      <c r="A7" t="inlineStr">
        <is>
          <t>Choque de prazo (anos)</t>
        </is>
      </c>
      <c r="B7" s="2" t="n">
        <v>2</v>
      </c>
    </row>
    <row r="9">
      <c r="A9" s="3" t="inlineStr">
        <is>
          <t>Campo</t>
        </is>
      </c>
      <c r="B9" s="3" t="inlineStr">
        <is>
          <t>Saldo NE 17</t>
        </is>
      </c>
      <c r="C9" s="3" t="inlineStr">
        <is>
          <t>Ano abandono</t>
        </is>
      </c>
      <c r="D9" s="3" t="inlineStr">
        <is>
          <t>Taxa</t>
        </is>
      </c>
      <c r="E9" s="3" t="inlineStr">
        <is>
          <t>Anos (t)</t>
        </is>
      </c>
      <c r="F9" s="3" t="inlineStr">
        <is>
          <t>Custo futuro implícito = VP x (1+r)^t</t>
        </is>
      </c>
      <c r="G9" s="3" t="inlineStr">
        <is>
          <t>VP taxa -choque</t>
        </is>
      </c>
      <c r="H9" s="3" t="inlineStr">
        <is>
          <t>VP taxa +choque</t>
        </is>
      </c>
      <c r="I9" s="3" t="inlineStr">
        <is>
          <t>VP custo +choque</t>
        </is>
      </c>
      <c r="J9" s="3" t="inlineStr">
        <is>
          <t>VP abandono antecipado</t>
        </is>
      </c>
      <c r="K9" s="3" t="inlineStr">
        <is>
          <t>VP abandono postergado</t>
        </is>
      </c>
    </row>
    <row r="10">
      <c r="A10" t="inlineStr">
        <is>
          <t>Tubarão Martelo</t>
        </is>
      </c>
      <c r="B10" s="4" t="n">
        <v>238335</v>
      </c>
      <c r="C10" s="2" t="n">
        <v>2033</v>
      </c>
      <c r="D10" s="5" t="n">
        <v>0.0759</v>
      </c>
      <c r="E10">
        <f>MAX(C10-2025,0.5)</f>
        <v/>
      </c>
      <c r="F10" s="4">
        <f>B10*(1+D10)^E10</f>
        <v/>
      </c>
      <c r="G10" s="4">
        <f>F10/(1+D10-$B$5)^E10</f>
        <v/>
      </c>
      <c r="H10" s="4">
        <f>F10/(1+D10+$B$5)^E10</f>
        <v/>
      </c>
      <c r="I10" s="4">
        <f>F10*(1+$B$6)/(1+D10)^E10</f>
        <v/>
      </c>
      <c r="J10" s="4">
        <f>F10/(1+D10)^MAX(E10-$B$7,0.5)</f>
        <v/>
      </c>
      <c r="K10" s="4">
        <f>F10/(1+D10)^(E10+$B$7)</f>
        <v/>
      </c>
    </row>
    <row r="11">
      <c r="A11" t="inlineStr">
        <is>
          <t>Frade</t>
        </is>
      </c>
      <c r="B11" s="4" t="n">
        <v>350213</v>
      </c>
      <c r="C11" s="2" t="n">
        <v>2041</v>
      </c>
      <c r="D11" s="5" t="n">
        <v>0.08119999999999999</v>
      </c>
      <c r="E11">
        <f>MAX(C11-2025,0.5)</f>
        <v/>
      </c>
      <c r="F11" s="4">
        <f>B11*(1+D11)^E11</f>
        <v/>
      </c>
      <c r="G11" s="4">
        <f>F11/(1+D11-$B$5)^E11</f>
        <v/>
      </c>
      <c r="H11" s="4">
        <f>F11/(1+D11+$B$5)^E11</f>
        <v/>
      </c>
      <c r="I11" s="4">
        <f>F11*(1+$B$6)/(1+D11)^E11</f>
        <v/>
      </c>
      <c r="J11" s="4">
        <f>F11/(1+D11)^MAX(E11-$B$7,0.5)</f>
        <v/>
      </c>
      <c r="K11" s="4">
        <f>F11/(1+D11)^(E11+$B$7)</f>
        <v/>
      </c>
    </row>
    <row r="12">
      <c r="A12" t="inlineStr">
        <is>
          <t>Albacora Leste</t>
        </is>
      </c>
      <c r="B12" s="4" t="n">
        <v>1805585</v>
      </c>
      <c r="C12" s="2" t="n">
        <v>2031</v>
      </c>
      <c r="D12" s="5" t="n">
        <v>0.0741</v>
      </c>
      <c r="E12">
        <f>MAX(C12-2025,0.5)</f>
        <v/>
      </c>
      <c r="F12" s="4">
        <f>B12*(1+D12)^E12</f>
        <v/>
      </c>
      <c r="G12" s="4">
        <f>F12/(1+D12-$B$5)^E12</f>
        <v/>
      </c>
      <c r="H12" s="4">
        <f>F12/(1+D12+$B$5)^E12</f>
        <v/>
      </c>
      <c r="I12" s="4">
        <f>F12*(1+$B$6)/(1+D12)^E12</f>
        <v/>
      </c>
      <c r="J12" s="4">
        <f>F12/(1+D12)^MAX(E12-$B$7,0.5)</f>
        <v/>
      </c>
      <c r="K12" s="4">
        <f>F12/(1+D12)^(E12+$B$7)</f>
        <v/>
      </c>
    </row>
    <row r="13">
      <c r="A13" t="inlineStr">
        <is>
          <t>Peregrino</t>
        </is>
      </c>
      <c r="B13" s="4" t="n">
        <v>2978159</v>
      </c>
      <c r="C13" s="2" t="n">
        <v>2034</v>
      </c>
      <c r="D13" s="5" t="n">
        <v>0.0741</v>
      </c>
      <c r="E13">
        <f>MAX(C13-2025,0.5)</f>
        <v/>
      </c>
      <c r="F13" s="4">
        <f>B13*(1+D13)^E13</f>
        <v/>
      </c>
      <c r="G13" s="4">
        <f>F13/(1+D13-$B$5)^E13</f>
        <v/>
      </c>
      <c r="H13" s="4">
        <f>F13/(1+D13+$B$5)^E13</f>
        <v/>
      </c>
      <c r="I13" s="4">
        <f>F13*(1+$B$6)/(1+D13)^E13</f>
        <v/>
      </c>
      <c r="J13" s="4">
        <f>F13/(1+D13)^MAX(E13-$B$7,0.5)</f>
        <v/>
      </c>
      <c r="K13" s="4">
        <f>F13/(1+D13)^(E13+$B$7)</f>
        <v/>
      </c>
    </row>
    <row r="14">
      <c r="A14" t="inlineStr">
        <is>
          <t>Tubarão Azul</t>
        </is>
      </c>
      <c r="B14" s="4" t="n">
        <v>86245</v>
      </c>
      <c r="C14" s="2" t="n">
        <v>2026</v>
      </c>
      <c r="D14" s="5" t="n">
        <v>0.0759</v>
      </c>
      <c r="E14">
        <f>MAX(C14-2025,0.5)</f>
        <v/>
      </c>
      <c r="F14" s="4">
        <f>B14*(1+D14)^E14</f>
        <v/>
      </c>
      <c r="G14" s="4">
        <f>F14/(1+D14-$B$5)^E14</f>
        <v/>
      </c>
      <c r="H14" s="4">
        <f>F14/(1+D14+$B$5)^E14</f>
        <v/>
      </c>
      <c r="I14" s="4">
        <f>F14*(1+$B$6)/(1+D14)^E14</f>
        <v/>
      </c>
      <c r="J14" s="4">
        <f>F14/(1+D14)^MAX(E14-$B$7,0.5)</f>
        <v/>
      </c>
      <c r="K14" s="4">
        <f>F14/(1+D14)^(E14+$B$7)</f>
        <v/>
      </c>
    </row>
    <row r="15">
      <c r="A15" s="6" t="inlineStr">
        <is>
          <t>TOTAL</t>
        </is>
      </c>
      <c r="B15" s="4">
        <f>SUM(B10:B14)</f>
        <v/>
      </c>
      <c r="F15" s="4">
        <f>SUM(F10:F14)</f>
        <v/>
      </c>
      <c r="G15" s="4">
        <f>SUM(G10:G14)</f>
        <v/>
      </c>
      <c r="H15" s="4">
        <f>SUM(H10:H14)</f>
        <v/>
      </c>
      <c r="I15" s="4">
        <f>SUM(I10:I14)</f>
        <v/>
      </c>
      <c r="J15" s="4">
        <f>SUM(J10:J14)</f>
        <v/>
      </c>
      <c r="K15" s="4">
        <f>SUM(K10:K14)</f>
        <v/>
      </c>
    </row>
    <row r="16">
      <c r="A16" s="6" t="inlineStr">
        <is>
          <t>Variação x saldo</t>
        </is>
      </c>
      <c r="G16" s="4">
        <f>G15-$B$15</f>
        <v/>
      </c>
      <c r="H16" s="4">
        <f>H15-$B$15</f>
        <v/>
      </c>
      <c r="I16" s="4">
        <f>I15-$B$15</f>
        <v/>
      </c>
      <c r="J16" s="4">
        <f>J15-$B$15</f>
        <v/>
      </c>
      <c r="K16" s="4">
        <f>K15-$B$15</f>
        <v/>
      </c>
    </row>
    <row r="17">
      <c r="A17" s="6" t="inlineStr">
        <is>
          <t>Variação / MG (155.000)</t>
        </is>
      </c>
      <c r="G17" s="7">
        <f>G16/155000</f>
        <v/>
      </c>
      <c r="H17" s="7">
        <f>H16/155000</f>
        <v/>
      </c>
      <c r="I17" s="7">
        <f>I16/155000</f>
        <v/>
      </c>
      <c r="J17" s="7">
        <f>J16/155000</f>
        <v/>
      </c>
      <c r="K17" s="7">
        <f>K16/155000</f>
        <v/>
      </c>
    </row>
    <row r="19">
      <c r="A19" t="inlineStr">
        <is>
          <t>Polvo excluído: saldo líquido do fundo de abandono (R$ -11.099 mil); prazo de Tubarão Azul = premissa didática.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PT 570 - Liquidez, endividamento e covenants (R$ mil)</t>
        </is>
      </c>
    </row>
    <row r="2">
      <c r="A2" t="inlineStr">
        <is>
          <t>Norma: NBC TA 570 itens 10-16, A3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t="inlineStr">
        <is>
          <t>Ativo circulante (BP 1.01)</t>
        </is>
      </c>
      <c r="B5" s="8" t="n">
        <v>9573265</v>
      </c>
    </row>
    <row r="6">
      <c r="A6" t="inlineStr">
        <is>
          <t>Passivo circulante (BP 2.01)</t>
        </is>
      </c>
      <c r="B6" s="8" t="n">
        <v>5262495</v>
      </c>
    </row>
    <row r="7">
      <c r="A7" t="inlineStr">
        <is>
          <t>Estoques (BP 1.01.04)</t>
        </is>
      </c>
      <c r="B7" s="8" t="n">
        <v>3109940</v>
      </c>
    </row>
    <row r="8">
      <c r="A8" t="inlineStr">
        <is>
          <t>Caixa e equivalentes (BP 1.01.01)</t>
        </is>
      </c>
      <c r="B8" s="8" t="n">
        <v>3398291</v>
      </c>
    </row>
    <row r="9">
      <c r="A9" t="inlineStr">
        <is>
          <t>Empréstimos (NE 13)</t>
        </is>
      </c>
      <c r="B9" s="8" t="n">
        <v>17167620</v>
      </c>
    </row>
    <row r="10">
      <c r="A10" t="inlineStr">
        <is>
          <t>Debêntures sem MTM (NE 14)</t>
        </is>
      </c>
      <c r="B10" s="8" t="n">
        <v>9943197</v>
      </c>
    </row>
    <row r="11">
      <c r="A11" t="inlineStr">
        <is>
          <t>EBIT (DRE 3.05)</t>
        </is>
      </c>
      <c r="B11" s="8" t="n">
        <v>1809322</v>
      </c>
    </row>
    <row r="12">
      <c r="A12" t="inlineStr">
        <is>
          <t>D&amp;A (DFC 6.01.01.02)</t>
        </is>
      </c>
      <c r="B12" s="8" t="n">
        <v>5855918</v>
      </c>
    </row>
    <row r="13">
      <c r="A13" t="inlineStr">
        <is>
          <t>Outras despesas líquidas não recorrentes (NE 25)</t>
        </is>
      </c>
      <c r="B13" s="8" t="n">
        <v>491868</v>
      </c>
    </row>
    <row r="14">
      <c r="A14" t="inlineStr">
        <is>
          <t>Pró-forma: produção Peregrino +40% (bpd) - premissa</t>
        </is>
      </c>
      <c r="B14" s="8" t="n">
        <v>40000</v>
      </c>
    </row>
    <row r="15">
      <c r="A15" t="inlineStr">
        <is>
          <t>Pró-forma: margem EBITDA US$/bbl - premissa</t>
        </is>
      </c>
      <c r="B15" s="8" t="n">
        <v>35</v>
      </c>
    </row>
    <row r="16">
      <c r="A16" t="inlineStr">
        <is>
          <t>PTAX média 2025</t>
        </is>
      </c>
      <c r="B16" s="8" t="n">
        <v>5.5855</v>
      </c>
    </row>
    <row r="17">
      <c r="A17" t="inlineStr">
        <is>
          <t>Juros pagos (DFC 6.03.04 + 6.03.13)</t>
        </is>
      </c>
      <c r="B17" s="8" t="n">
        <v>870584</v>
      </c>
    </row>
    <row r="18">
      <c r="A18" t="inlineStr">
        <is>
          <t>FCO (DFC 6.01)</t>
        </is>
      </c>
      <c r="B18" s="8" t="n">
        <v>8176080</v>
      </c>
    </row>
    <row r="19">
      <c r="A19" t="inlineStr">
        <is>
          <t>Capex (DFC 6.02.01)</t>
        </is>
      </c>
      <c r="B19" s="8" t="n">
        <v>5428983</v>
      </c>
    </row>
    <row r="20">
      <c r="A20" t="inlineStr">
        <is>
          <t>Limite covenant</t>
        </is>
      </c>
      <c r="B20" s="8" t="n">
        <v>2.5</v>
      </c>
    </row>
    <row r="22">
      <c r="A22" s="6" t="inlineStr">
        <is>
          <t>Liquidez corrente</t>
        </is>
      </c>
      <c r="B22" s="9">
        <f>B5/B6</f>
        <v/>
      </c>
    </row>
    <row r="23">
      <c r="A23" s="6" t="inlineStr">
        <is>
          <t>Liquidez seca</t>
        </is>
      </c>
      <c r="B23" s="9">
        <f>(B5-B7)/B6</f>
        <v/>
      </c>
    </row>
    <row r="24">
      <c r="A24" s="6" t="inlineStr">
        <is>
          <t>Dívida líquida</t>
        </is>
      </c>
      <c r="B24" s="4">
        <f>B9+B10-B8</f>
        <v/>
      </c>
    </row>
    <row r="25">
      <c r="A25" s="6" t="inlineStr">
        <is>
          <t>EBITDA ajustado</t>
        </is>
      </c>
      <c r="B25" s="4">
        <f>B11+B12+B13</f>
        <v/>
      </c>
    </row>
    <row r="26">
      <c r="A26" s="6" t="inlineStr">
        <is>
          <t>Dívida líquida / EBITDA ajustado (sem pró-forma)</t>
        </is>
      </c>
      <c r="B26" s="10">
        <f>B24/B25</f>
        <v/>
      </c>
    </row>
    <row r="27">
      <c r="A27" s="6" t="inlineStr">
        <is>
          <t>EBITDA pró-forma Peregrino 40% (LTM)</t>
        </is>
      </c>
      <c r="B27" s="4">
        <f>B14*365*B15*B16/1000</f>
        <v/>
      </c>
    </row>
    <row r="28">
      <c r="A28" s="6" t="inlineStr">
        <is>
          <t>Dívida líquida / EBITDA pró-forma</t>
        </is>
      </c>
      <c r="B28" s="10">
        <f>B24/(B25+B27)</f>
        <v/>
      </c>
    </row>
    <row r="29">
      <c r="A29" s="6" t="inlineStr">
        <is>
          <t>EBITDA pró-forma mínimo para atender o covenant</t>
        </is>
      </c>
      <c r="B29" s="4">
        <f>B24/B20-B25</f>
        <v/>
      </c>
    </row>
    <row r="30">
      <c r="A30" s="6" t="inlineStr">
        <is>
          <t>Cobertura de juros (EBITDA aj. / juros pagos)</t>
        </is>
      </c>
      <c r="B30" s="7">
        <f>B25/B17</f>
        <v/>
      </c>
    </row>
    <row r="31">
      <c r="A31" s="6" t="inlineStr">
        <is>
          <t>FCO - capex</t>
        </is>
      </c>
      <c r="B31" s="4">
        <f>B18-B19</f>
        <v/>
      </c>
    </row>
    <row r="32">
      <c r="A32" s="6" t="inlineStr">
        <is>
          <t>Situação covenant (pró-forma)</t>
        </is>
      </c>
      <c r="B32" s="11">
        <f>IF(B28&lt;=B20,"Atende (depende do pró-forma)","Descumpre")</f>
        <v/>
      </c>
    </row>
    <row r="34">
      <c r="A34" t="inlineStr">
        <is>
          <t>Evidência posterior: apresentação 2T26 (05/08/2026) divulga alavancagem de 1,5x e quitação do bond 2026 (US$ 168,7 mi).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