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ativas" sheetId="1" state="visible" r:id="rId1"/>
    <sheet xmlns:r="http://schemas.openxmlformats.org/officeDocument/2006/relationships" name="DA_Decomposicao" sheetId="2" state="visible" r:id="rId2"/>
    <sheet xmlns:r="http://schemas.openxmlformats.org/officeDocument/2006/relationships" name="Horizontal_Vertical" sheetId="3" state="visible" r:id="rId3"/>
    <sheet xmlns:r="http://schemas.openxmlformats.org/officeDocument/2006/relationships" name="Benford_SINTE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#,##0;[Red]-#,##0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10" fontId="0" fillId="2" borderId="0" pivotButton="0" quotePrefix="0" xfId="0"/>
    <xf numFmtId="0" fontId="2" fillId="3" borderId="0" applyAlignment="1" pivotButton="0" quotePrefix="0" xfId="0">
      <alignment vertical="center" wrapText="1"/>
    </xf>
    <xf numFmtId="165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20" customWidth="1" min="3" max="3"/>
    <col width="18" customWidth="1" min="4" max="4"/>
    <col width="12" customWidth="1" min="5" max="5"/>
    <col width="11" customWidth="1" min="6" max="6"/>
    <col width="20" customWidth="1" min="7" max="7"/>
    <col width="12" customWidth="1" min="8" max="8"/>
    <col width="22" customWidth="1" min="9" max="9"/>
  </cols>
  <sheetData>
    <row r="1">
      <c r="A1" s="1" t="inlineStr">
        <is>
          <t>PT 520 - Procedimentos analíticos substantivos (cálculos reproduzíveis)</t>
        </is>
      </c>
    </row>
    <row r="2">
      <c r="A2" t="inlineStr">
        <is>
          <t>Norma: NBC TA 520 itens 5-7, A12-A16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t="inlineStr">
        <is>
          <t>Brent médio 2025 US$/bbl (EIA)</t>
        </is>
      </c>
      <c r="B5" s="2" t="n">
        <v>69.14</v>
      </c>
    </row>
    <row r="6">
      <c r="A6" t="inlineStr">
        <is>
          <t>Brent médio 2024 US$/bbl (EIA)</t>
        </is>
      </c>
      <c r="B6" s="2" t="n">
        <v>80.52</v>
      </c>
    </row>
    <row r="7">
      <c r="A7" t="inlineStr">
        <is>
          <t>PTAX média 2025 R$/US$ (BCB SGS 1)</t>
        </is>
      </c>
      <c r="B7" s="2" t="n">
        <v>5.5855</v>
      </c>
    </row>
    <row r="8">
      <c r="A8" t="inlineStr">
        <is>
          <t>PTAX média 2024 (BCB)</t>
        </is>
      </c>
      <c r="B8" s="2" t="n">
        <v>5.392</v>
      </c>
    </row>
    <row r="9">
      <c r="A9" t="inlineStr">
        <is>
          <t>Volume vendido 2025 - milhões bbl (RA p. 27)</t>
        </is>
      </c>
      <c r="B9" s="2" t="n">
        <v>37.8</v>
      </c>
    </row>
    <row r="10">
      <c r="A10" t="inlineStr">
        <is>
          <t>Desconto de qualidade premissa US$/bbl</t>
        </is>
      </c>
      <c r="B10" s="2" t="n">
        <v>4</v>
      </c>
    </row>
    <row r="11">
      <c r="A11" t="inlineStr">
        <is>
          <t>Receita bruta de óleo próprio registrada R$ mil (NE 22)</t>
        </is>
      </c>
      <c r="B11" s="2" t="n">
        <v>13954101</v>
      </c>
    </row>
    <row r="12">
      <c r="A12" t="inlineStr">
        <is>
          <t>Dívida bruta 31/12/2024 R$ mil (NE 13+14)</t>
        </is>
      </c>
      <c r="B12" s="2" t="n">
        <v>18401948</v>
      </c>
    </row>
    <row r="13">
      <c r="A13" t="inlineStr">
        <is>
          <t>Dívida bruta 31/12/2025 R$ mil (NE 13+14)</t>
        </is>
      </c>
      <c r="B13" s="2" t="n">
        <v>27110817</v>
      </c>
    </row>
    <row r="14">
      <c r="A14" t="inlineStr">
        <is>
          <t>Custo médio da dívida (RA p. 39)</t>
        </is>
      </c>
      <c r="B14" s="3" t="n">
        <v>0.0636</v>
      </c>
    </row>
    <row r="15">
      <c r="A15" t="inlineStr">
        <is>
          <t>Juros sobre empréstimos registrados R$ mil (NE 26)</t>
        </is>
      </c>
      <c r="B15" s="2" t="n">
        <v>1344905</v>
      </c>
    </row>
    <row r="16">
      <c r="A16" t="inlineStr">
        <is>
          <t>Provisão abandono 31/12/2024 R$ mil (NE 17)</t>
        </is>
      </c>
      <c r="B16" s="2" t="n">
        <v>3387766</v>
      </c>
    </row>
    <row r="17">
      <c r="A17" t="inlineStr">
        <is>
          <t>Complemento ARO Peregrino 11/11/2025 R$ mil (NE 9.d)</t>
        </is>
      </c>
      <c r="B17" s="2" t="n">
        <v>1322571</v>
      </c>
    </row>
    <row r="18">
      <c r="A18" t="inlineStr">
        <is>
          <t>Taxa média de desconto ARO (NE 17)</t>
        </is>
      </c>
      <c r="B18" s="3" t="n">
        <v>0.0755</v>
      </c>
    </row>
    <row r="19">
      <c r="A19" t="inlineStr">
        <is>
          <t>Atualização monetária ARO registrada R$ mil (NE 26)</t>
        </is>
      </c>
      <c r="B19" s="2" t="n">
        <v>371394</v>
      </c>
    </row>
    <row r="20">
      <c r="A20" t="inlineStr">
        <is>
          <t>Royalties e PE registrados R$ mil (NE 23)</t>
        </is>
      </c>
      <c r="B20" s="2" t="n">
        <v>1533652</v>
      </c>
    </row>
    <row r="21">
      <c r="A21" t="inlineStr">
        <is>
          <t>Alíquota de royalties ANP</t>
        </is>
      </c>
      <c r="B21" s="3" t="n">
        <v>0.1</v>
      </c>
    </row>
    <row r="23">
      <c r="A23" s="4" t="inlineStr">
        <is>
          <t>Conta</t>
        </is>
      </c>
      <c r="B23" s="4" t="inlineStr">
        <is>
          <t>Valor esperado</t>
        </is>
      </c>
      <c r="C23" s="4" t="inlineStr">
        <is>
          <t>Valor registrado</t>
        </is>
      </c>
      <c r="D23" s="4" t="inlineStr">
        <is>
          <t>Diferença</t>
        </is>
      </c>
      <c r="E23" s="4" t="inlineStr">
        <is>
          <t>Diferença %</t>
        </is>
      </c>
      <c r="F23" s="4" t="inlineStr">
        <is>
          <t>Precisão %</t>
        </is>
      </c>
      <c r="G23" s="4" t="inlineStr">
        <is>
          <t>Limite de investigação</t>
        </is>
      </c>
      <c r="H23" s="4" t="inlineStr">
        <is>
          <t>Investigar?</t>
        </is>
      </c>
      <c r="I23" s="4" t="inlineStr">
        <is>
          <t>Precisão isolada suficiente (limite &lt;= ME 93.000)?</t>
        </is>
      </c>
    </row>
    <row r="24">
      <c r="A24" t="inlineStr">
        <is>
          <t>Receita bruta de óleo próprio</t>
        </is>
      </c>
      <c r="B24" s="5">
        <f>B9*1000000*(B5-B10)*B7/1000</f>
        <v/>
      </c>
      <c r="C24" s="5">
        <f>B11</f>
        <v/>
      </c>
      <c r="D24" s="5">
        <f>C24-B24</f>
        <v/>
      </c>
      <c r="E24" s="6">
        <f>D24/B24</f>
        <v/>
      </c>
      <c r="F24" s="3" t="n">
        <v>0.05</v>
      </c>
      <c r="G24" s="5">
        <f>ABS(B24)*F24</f>
        <v/>
      </c>
      <c r="H24">
        <f>IF(ABS(D24)&gt;G24,"SIM","não")</f>
        <v/>
      </c>
      <c r="I24">
        <f>IF(G24&lt;=93000,"sim","não - combinar com teste de detalhe")</f>
        <v/>
      </c>
    </row>
    <row r="25">
      <c r="A25" t="inlineStr">
        <is>
          <t>Juros sobre empréstimos e debêntures</t>
        </is>
      </c>
      <c r="B25" s="5">
        <f>(B12+B13)/2*B14</f>
        <v/>
      </c>
      <c r="C25" s="5">
        <f>B15</f>
        <v/>
      </c>
      <c r="D25" s="5">
        <f>C25-B25</f>
        <v/>
      </c>
      <c r="E25" s="6">
        <f>D25/B25</f>
        <v/>
      </c>
      <c r="F25" s="3" t="n">
        <v>0.1</v>
      </c>
      <c r="G25" s="5">
        <f>ABS(B25)*F25</f>
        <v/>
      </c>
      <c r="H25">
        <f>IF(ABS(D25)&gt;G25,"SIM","não")</f>
        <v/>
      </c>
      <c r="I25">
        <f>IF(G25&lt;=93000,"sim","não - combinar com teste de detalhe")</f>
        <v/>
      </c>
    </row>
    <row r="26">
      <c r="A26" t="inlineStr">
        <is>
          <t>Atualização monetária da provisão de abandono</t>
        </is>
      </c>
      <c r="B26" s="5">
        <f>(B16+B17*50/365)*B18</f>
        <v/>
      </c>
      <c r="C26" s="5">
        <f>B19</f>
        <v/>
      </c>
      <c r="D26" s="5">
        <f>C26-B26</f>
        <v/>
      </c>
      <c r="E26" s="6">
        <f>D26/B26</f>
        <v/>
      </c>
      <c r="F26" s="3" t="n">
        <v>0.1</v>
      </c>
      <c r="G26" s="5">
        <f>ABS(B26)*F26</f>
        <v/>
      </c>
      <c r="H26">
        <f>IF(ABS(D26)&gt;G26,"SIM","não")</f>
        <v/>
      </c>
      <c r="I26">
        <f>IF(G26&lt;=93000,"sim","não - combinar com teste de detalhe")</f>
        <v/>
      </c>
    </row>
    <row r="27">
      <c r="A27" t="inlineStr">
        <is>
          <t>Royalties e participação especial</t>
        </is>
      </c>
      <c r="B27" s="5">
        <f>B21*B11</f>
        <v/>
      </c>
      <c r="C27" s="5">
        <f>B20</f>
        <v/>
      </c>
      <c r="D27" s="5">
        <f>C27-B27</f>
        <v/>
      </c>
      <c r="E27" s="6">
        <f>D27/B27</f>
        <v/>
      </c>
      <c r="F27" s="3" t="n">
        <v>0.15</v>
      </c>
      <c r="G27" s="5">
        <f>ABS(B27)*F27</f>
        <v/>
      </c>
      <c r="H27">
        <f>IF(ABS(D27)&gt;G27,"SIM","não")</f>
        <v/>
      </c>
      <c r="I27">
        <f>IF(G27&lt;=93000,"sim","não - combinar com teste de detalhe")</f>
        <v/>
      </c>
    </row>
    <row r="29">
      <c r="A29" s="7" t="inlineStr">
        <is>
          <t>D&amp;A: expectativa e decomposição por ativo na aba DA_Decomposicao (investigação da diferença).</t>
        </is>
      </c>
    </row>
    <row r="31">
      <c r="A31" s="4" t="inlineStr">
        <is>
          <t>conta</t>
        </is>
      </c>
      <c r="B31" s="4" t="inlineStr">
        <is>
          <t>expectativa_metodo</t>
        </is>
      </c>
      <c r="C31" s="4" t="inlineStr">
        <is>
          <t>valor_esperado</t>
        </is>
      </c>
      <c r="D31" s="4" t="inlineStr">
        <is>
          <t>valor_registrado</t>
        </is>
      </c>
      <c r="E31" s="4" t="inlineStr">
        <is>
          <t>precisao_pct</t>
        </is>
      </c>
      <c r="F31" s="4" t="inlineStr">
        <is>
          <t>diferenca</t>
        </is>
      </c>
      <c r="G31" s="4" t="inlineStr">
        <is>
          <t>diferenca_pct</t>
        </is>
      </c>
      <c r="H31" s="4" t="inlineStr">
        <is>
          <t>limite_investigacao</t>
        </is>
      </c>
      <c r="I31" s="4" t="inlineStr">
        <is>
          <t>investigar</t>
        </is>
      </c>
      <c r="J31" s="4" t="inlineStr">
        <is>
          <t>precisao_suficiente_isolada</t>
        </is>
      </c>
    </row>
    <row r="32">
      <c r="A32" t="inlineStr">
        <is>
          <t>Receita de venda de óleo próprio (bruta)</t>
        </is>
      </c>
      <c r="B32" t="inlineStr">
        <is>
          <t>Volume vendido (37,8 MMbbl, RA p. 27) x (Brent médio EIA - desconto premissa US$ 4/bbl) x PTAX média BCB</t>
        </is>
      </c>
      <c r="C32" s="8" t="n">
        <v>13753131.966</v>
      </c>
      <c r="D32" s="8" t="n">
        <v>13954101</v>
      </c>
      <c r="E32" s="8" t="n">
        <v>0.05</v>
      </c>
      <c r="F32" s="8" t="n">
        <v>200969.034</v>
      </c>
      <c r="G32" s="8" t="n">
        <v>0.0146126012966957</v>
      </c>
      <c r="H32" s="8" t="n">
        <v>687656.5983000001</v>
      </c>
      <c r="I32" s="8" t="b">
        <v>0</v>
      </c>
      <c r="J32" s="8" t="b">
        <v>0</v>
      </c>
    </row>
    <row r="33">
      <c r="A33" t="inlineStr">
        <is>
          <t>Depreciação, amortização e exaustão</t>
        </is>
      </c>
      <c r="B33" t="inlineStr">
        <is>
          <t>Taxa R$/bbl 2024 (sem Peregrino) x barris legados 2025 + VC de abertura de Peregrino / 6 anos até 2031 + aquisição +40% pro rata</t>
        </is>
      </c>
      <c r="C33" s="8" t="n">
        <v>4137702.007302641</v>
      </c>
      <c r="D33" s="8" t="n">
        <v>5855918</v>
      </c>
      <c r="E33" s="8" t="n">
        <v>0.15</v>
      </c>
      <c r="F33" s="8" t="n">
        <v>1718215.992697359</v>
      </c>
      <c r="G33" s="8" t="n">
        <v>0.4152585153945052</v>
      </c>
      <c r="H33" s="8" t="n">
        <v>620655.3010953962</v>
      </c>
      <c r="I33" s="8" t="b">
        <v>1</v>
      </c>
      <c r="J33" s="8" t="b">
        <v>0</v>
      </c>
    </row>
    <row r="34">
      <c r="A34" t="inlineStr">
        <is>
          <t>Juros sobre empréstimos e debêntures</t>
        </is>
      </c>
      <c r="B34" t="inlineStr">
        <is>
          <t>Dívida bruta média (NE 13+14) x custo médio da dívida 6,36% (RA p. 39)</t>
        </is>
      </c>
      <c r="C34" s="8" t="n">
        <v>1447305.927</v>
      </c>
      <c r="D34" s="8" t="n">
        <v>1344905</v>
      </c>
      <c r="E34" s="8" t="n">
        <v>0.1</v>
      </c>
      <c r="F34" s="8" t="n">
        <v>-102400.9270000001</v>
      </c>
      <c r="G34" s="8" t="n">
        <v>-0.0707527863250435</v>
      </c>
      <c r="H34" s="8" t="n">
        <v>144730.5927</v>
      </c>
      <c r="I34" s="8" t="b">
        <v>0</v>
      </c>
      <c r="J34" s="8" t="b">
        <v>0</v>
      </c>
    </row>
    <row r="35">
      <c r="A35" t="inlineStr">
        <is>
          <t>Atualização monetária da provisão de abandono</t>
        </is>
      </c>
      <c r="B35" t="inlineStr">
        <is>
          <t>Saldo inicial NE 17 + complemento Peregrino pro rata (50 dias) x taxa média 7,55%</t>
        </is>
      </c>
      <c r="C35" s="8" t="n">
        <v>269454.9782739726</v>
      </c>
      <c r="D35" s="8" t="n">
        <v>371394</v>
      </c>
      <c r="E35" s="8" t="n">
        <v>0.1</v>
      </c>
      <c r="F35" s="8" t="n">
        <v>101939.0217260274</v>
      </c>
      <c r="G35" s="8" t="n">
        <v>0.3783155998045036</v>
      </c>
      <c r="H35" s="8" t="n">
        <v>26945.49782739726</v>
      </c>
      <c r="I35" s="8" t="b">
        <v>1</v>
      </c>
      <c r="J35" s="8" t="b">
        <v>1</v>
      </c>
    </row>
    <row r="36">
      <c r="A36" t="inlineStr">
        <is>
          <t>Royalties e participação especial</t>
        </is>
      </c>
      <c r="B36" t="inlineStr">
        <is>
          <t>10% (alíquota de royalties ANP) x receita bruta de óleo próprio</t>
        </is>
      </c>
      <c r="C36" s="8" t="n">
        <v>1395410.1</v>
      </c>
      <c r="D36" s="8" t="n">
        <v>1533652</v>
      </c>
      <c r="E36" s="8" t="n">
        <v>0.15</v>
      </c>
      <c r="F36" s="8" t="n">
        <v>138241.8999999999</v>
      </c>
      <c r="G36" s="8" t="n">
        <v>0.0990690120416929</v>
      </c>
      <c r="H36" s="8" t="n">
        <v>209311.515</v>
      </c>
      <c r="I36" s="8" t="b">
        <v>0</v>
      </c>
      <c r="J36" s="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Investigação da diferença de D&amp;A - decomposição das movimentações (NE 8, 9 e 15)</t>
        </is>
      </c>
    </row>
    <row r="2">
      <c r="A2" t="inlineStr">
        <is>
          <t>Norma: NBC TA 520 item 7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4" t="inlineStr">
        <is>
          <t>ativo</t>
        </is>
      </c>
      <c r="B5" s="4" t="inlineStr">
        <is>
          <t>depreciacao_2025</t>
        </is>
      </c>
    </row>
    <row r="6">
      <c r="A6" t="inlineStr">
        <is>
          <t>Peregrino - plataforma (NE 8)</t>
        </is>
      </c>
      <c r="B6" s="5" t="n">
        <v>1076933</v>
      </c>
    </row>
    <row r="7">
      <c r="A7" t="inlineStr">
        <is>
          <t>Peregrino - ativos O&amp;G (NE 8)</t>
        </is>
      </c>
      <c r="B7" s="5" t="n">
        <v>1185119</v>
      </c>
    </row>
    <row r="8">
      <c r="A8" t="inlineStr">
        <is>
          <t>Peregrino - concessão (NE 9)</t>
        </is>
      </c>
      <c r="B8" s="5" t="n">
        <v>733130</v>
      </c>
    </row>
    <row r="9">
      <c r="A9" t="inlineStr">
        <is>
          <t>Albacora Leste - concessão (NE 9)</t>
        </is>
      </c>
      <c r="B9" s="5" t="n">
        <v>1314370</v>
      </c>
    </row>
    <row r="10">
      <c r="A10" t="inlineStr">
        <is>
          <t>Albacora Leste - FPSO Forte e O&amp;G (NE 8)</t>
        </is>
      </c>
      <c r="B10" s="5" t="n">
        <v>242532</v>
      </c>
    </row>
    <row r="11">
      <c r="A11" t="inlineStr">
        <is>
          <t>Frade - FPSO, O&amp;G e concessão (NE 8/9)</t>
        </is>
      </c>
      <c r="B11" s="5" t="n">
        <v>405810</v>
      </c>
    </row>
    <row r="12">
      <c r="A12" t="inlineStr">
        <is>
          <t>Polvo/TBMT - FPSO, O&amp;G, plataforma e concessão (NE 8/9)</t>
        </is>
      </c>
      <c r="B12" s="5" t="n">
        <v>239630</v>
      </c>
    </row>
    <row r="13">
      <c r="A13" t="inlineStr">
        <is>
          <t>Workover (NE 8)</t>
        </is>
      </c>
      <c r="B13" s="5" t="n">
        <v>139953</v>
      </c>
    </row>
    <row r="14">
      <c r="A14" t="inlineStr">
        <is>
          <t>Sonda Hunter Queen (NE 8)</t>
        </is>
      </c>
      <c r="B14" s="5" t="n">
        <v>57324</v>
      </c>
    </row>
    <row r="15">
      <c r="A15" t="inlineStr">
        <is>
          <t>Embarcação e demais (NE 8)</t>
        </is>
      </c>
      <c r="B15" s="5" t="n">
        <v>16539</v>
      </c>
    </row>
    <row r="16">
      <c r="A16" t="inlineStr">
        <is>
          <t>Direito de uso (NE 15)</t>
        </is>
      </c>
      <c r="B16" s="5" t="n">
        <v>293368</v>
      </c>
    </row>
    <row r="17">
      <c r="A17" t="inlineStr">
        <is>
          <t>Soma das movimentações (moeda de apresentação, taxas históricas)</t>
        </is>
      </c>
      <c r="B17" s="5" t="n">
        <v>5704708</v>
      </c>
    </row>
    <row r="18">
      <c r="A18" t="inlineStr">
        <is>
          <t>D&amp;A na DFC (6.01.01.02)</t>
        </is>
      </c>
      <c r="B18" s="5" t="n">
        <v>5855918</v>
      </c>
    </row>
    <row r="19">
      <c r="A19" t="inlineStr">
        <is>
          <t>Diferença (conversão por taxa média x histórica - hipótese)</t>
        </is>
      </c>
      <c r="B19" s="5" t="n">
        <v>151210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6" customWidth="1" min="9" max="9"/>
  </cols>
  <sheetData>
    <row r="1">
      <c r="A1" s="1" t="inlineStr">
        <is>
          <t>Análise horizontal e vertical (BP e DRE consolidados)</t>
        </is>
      </c>
    </row>
    <row r="2">
      <c r="A2" t="inlineStr">
        <is>
          <t>Norma: NBC TA 520 / NBC TA 315 A27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4" t="inlineStr">
        <is>
          <t>Demonstração</t>
        </is>
      </c>
      <c r="B5" s="4" t="inlineStr">
        <is>
          <t>Conta</t>
        </is>
      </c>
      <c r="C5" s="4" t="inlineStr">
        <is>
          <t>Descrição</t>
        </is>
      </c>
      <c r="D5" s="4" t="inlineStr">
        <is>
          <t>2024</t>
        </is>
      </c>
      <c r="E5" s="4" t="inlineStr">
        <is>
          <t>2025</t>
        </is>
      </c>
      <c r="F5" s="4" t="inlineStr">
        <is>
          <t>Var. R$ mil</t>
        </is>
      </c>
      <c r="G5" s="4" t="inlineStr">
        <is>
          <t>Var. %</t>
        </is>
      </c>
      <c r="H5" s="4" t="inlineStr">
        <is>
          <t>AV 2025</t>
        </is>
      </c>
      <c r="I5" s="4" t="inlineStr">
        <is>
          <t>Acima do limite (&gt; ME e &gt; 10%)?</t>
        </is>
      </c>
    </row>
    <row r="6">
      <c r="A6" t="inlineStr">
        <is>
          <t>BPA</t>
        </is>
      </c>
      <c r="B6" t="inlineStr">
        <is>
          <t>1</t>
        </is>
      </c>
      <c r="C6" t="inlineStr">
        <is>
          <t>Ativo Total</t>
        </is>
      </c>
      <c r="D6" s="5" t="n">
        <v>55746165</v>
      </c>
      <c r="E6" s="5" t="n">
        <v>64179605</v>
      </c>
      <c r="F6" s="5">
        <f>E6-D6</f>
        <v/>
      </c>
      <c r="G6" s="6">
        <f>IF(D6=0,"",F6/ABS(D6))</f>
        <v/>
      </c>
      <c r="H6" s="6">
        <f>E6/E$6</f>
        <v/>
      </c>
      <c r="I6">
        <f>IF(AND(ABS(F6)&gt;93000,ABS(IF(D6=0,1,F6/D6))&gt;0.1),"SIM","")</f>
        <v/>
      </c>
    </row>
    <row r="7">
      <c r="A7" t="inlineStr">
        <is>
          <t>BPA</t>
        </is>
      </c>
      <c r="B7" t="inlineStr">
        <is>
          <t>1.01</t>
        </is>
      </c>
      <c r="C7" t="inlineStr">
        <is>
          <t>Ativo Circulante</t>
        </is>
      </c>
      <c r="D7" s="5" t="n">
        <v>7952572</v>
      </c>
      <c r="E7" s="5" t="n">
        <v>9573265</v>
      </c>
      <c r="F7" s="5">
        <f>E7-D7</f>
        <v/>
      </c>
      <c r="G7" s="6">
        <f>IF(D7=0,"",F7/ABS(D7))</f>
        <v/>
      </c>
      <c r="H7" s="6">
        <f>E7/E$6</f>
        <v/>
      </c>
      <c r="I7">
        <f>IF(AND(ABS(F7)&gt;93000,ABS(IF(D7=0,1,F7/D7))&gt;0.1),"SIM","")</f>
        <v/>
      </c>
    </row>
    <row r="8">
      <c r="A8" t="inlineStr">
        <is>
          <t>BPA</t>
        </is>
      </c>
      <c r="B8" t="inlineStr">
        <is>
          <t>1.01.01</t>
        </is>
      </c>
      <c r="C8" t="inlineStr">
        <is>
          <t>Caixa e Equivalentes de Caixa</t>
        </is>
      </c>
      <c r="D8" s="5" t="n">
        <v>3993359</v>
      </c>
      <c r="E8" s="5" t="n">
        <v>3398291</v>
      </c>
      <c r="F8" s="5">
        <f>E8-D8</f>
        <v/>
      </c>
      <c r="G8" s="6">
        <f>IF(D8=0,"",F8/ABS(D8))</f>
        <v/>
      </c>
      <c r="H8" s="6">
        <f>E8/E$6</f>
        <v/>
      </c>
      <c r="I8">
        <f>IF(AND(ABS(F8)&gt;93000,ABS(IF(D8=0,1,F8/D8))&gt;0.1),"SIM","")</f>
        <v/>
      </c>
    </row>
    <row r="9">
      <c r="A9" t="inlineStr">
        <is>
          <t>BPA</t>
        </is>
      </c>
      <c r="B9" t="inlineStr">
        <is>
          <t>1.01.03</t>
        </is>
      </c>
      <c r="C9" t="inlineStr">
        <is>
          <t>Contas a Receber</t>
        </is>
      </c>
      <c r="D9" s="5" t="n">
        <v>931770</v>
      </c>
      <c r="E9" s="5" t="n">
        <v>1690100</v>
      </c>
      <c r="F9" s="5">
        <f>E9-D9</f>
        <v/>
      </c>
      <c r="G9" s="6">
        <f>IF(D9=0,"",F9/ABS(D9))</f>
        <v/>
      </c>
      <c r="H9" s="6">
        <f>E9/E$6</f>
        <v/>
      </c>
      <c r="I9">
        <f>IF(AND(ABS(F9)&gt;93000,ABS(IF(D9=0,1,F9/D9))&gt;0.1),"SIM","")</f>
        <v/>
      </c>
    </row>
    <row r="10">
      <c r="A10" t="inlineStr">
        <is>
          <t>BPA</t>
        </is>
      </c>
      <c r="B10" t="inlineStr">
        <is>
          <t>1.01.04</t>
        </is>
      </c>
      <c r="C10" t="inlineStr">
        <is>
          <t>Estoques</t>
        </is>
      </c>
      <c r="D10" s="5" t="n">
        <v>1204744</v>
      </c>
      <c r="E10" s="5" t="n">
        <v>3109940</v>
      </c>
      <c r="F10" s="5">
        <f>E10-D10</f>
        <v/>
      </c>
      <c r="G10" s="6">
        <f>IF(D10=0,"",F10/ABS(D10))</f>
        <v/>
      </c>
      <c r="H10" s="6">
        <f>E10/E$6</f>
        <v/>
      </c>
      <c r="I10">
        <f>IF(AND(ABS(F10)&gt;93000,ABS(IF(D10=0,1,F10/D10))&gt;0.1),"SIM","")</f>
        <v/>
      </c>
    </row>
    <row r="11">
      <c r="A11" t="inlineStr">
        <is>
          <t>BPA</t>
        </is>
      </c>
      <c r="B11" t="inlineStr">
        <is>
          <t>1.01.06</t>
        </is>
      </c>
      <c r="C11" t="inlineStr">
        <is>
          <t>Tributos a Recuperar</t>
        </is>
      </c>
      <c r="D11" s="5" t="n">
        <v>1203464</v>
      </c>
      <c r="E11" s="5" t="n">
        <v>948010</v>
      </c>
      <c r="F11" s="5">
        <f>E11-D11</f>
        <v/>
      </c>
      <c r="G11" s="6">
        <f>IF(D11=0,"",F11/ABS(D11))</f>
        <v/>
      </c>
      <c r="H11" s="6">
        <f>E11/E$6</f>
        <v/>
      </c>
      <c r="I11">
        <f>IF(AND(ABS(F11)&gt;93000,ABS(IF(D11=0,1,F11/D11))&gt;0.1),"SIM","")</f>
        <v/>
      </c>
    </row>
    <row r="12">
      <c r="A12" t="inlineStr">
        <is>
          <t>BPA</t>
        </is>
      </c>
      <c r="B12" t="inlineStr">
        <is>
          <t>1.01.07</t>
        </is>
      </c>
      <c r="C12" t="inlineStr">
        <is>
          <t>Despesas Antecipadas</t>
        </is>
      </c>
      <c r="D12" s="5" t="n">
        <v>32832</v>
      </c>
      <c r="E12" s="5" t="n">
        <v>29481</v>
      </c>
      <c r="F12" s="5">
        <f>E12-D12</f>
        <v/>
      </c>
      <c r="G12" s="6">
        <f>IF(D12=0,"",F12/ABS(D12))</f>
        <v/>
      </c>
      <c r="H12" s="6">
        <f>E12/E$6</f>
        <v/>
      </c>
      <c r="I12">
        <f>IF(AND(ABS(F12)&gt;93000,ABS(IF(D12=0,1,F12/D12))&gt;0.1),"SIM","")</f>
        <v/>
      </c>
    </row>
    <row r="13">
      <c r="A13" t="inlineStr">
        <is>
          <t>BPA</t>
        </is>
      </c>
      <c r="B13" t="inlineStr">
        <is>
          <t>1.01.08</t>
        </is>
      </c>
      <c r="C13" t="inlineStr">
        <is>
          <t>Outros Ativos Circulantes</t>
        </is>
      </c>
      <c r="D13" s="5" t="n">
        <v>586403</v>
      </c>
      <c r="E13" s="5" t="n">
        <v>397443</v>
      </c>
      <c r="F13" s="5">
        <f>E13-D13</f>
        <v/>
      </c>
      <c r="G13" s="6">
        <f>IF(D13=0,"",F13/ABS(D13))</f>
        <v/>
      </c>
      <c r="H13" s="6">
        <f>E13/E$6</f>
        <v/>
      </c>
      <c r="I13">
        <f>IF(AND(ABS(F13)&gt;93000,ABS(IF(D13=0,1,F13/D13))&gt;0.1),"SIM","")</f>
        <v/>
      </c>
    </row>
    <row r="14">
      <c r="A14" t="inlineStr">
        <is>
          <t>BPA</t>
        </is>
      </c>
      <c r="B14" t="inlineStr">
        <is>
          <t>1.02</t>
        </is>
      </c>
      <c r="C14" t="inlineStr">
        <is>
          <t>Ativo Não Circulante</t>
        </is>
      </c>
      <c r="D14" s="5" t="n">
        <v>47793593</v>
      </c>
      <c r="E14" s="5" t="n">
        <v>54606340</v>
      </c>
      <c r="F14" s="5">
        <f>E14-D14</f>
        <v/>
      </c>
      <c r="G14" s="6">
        <f>IF(D14=0,"",F14/ABS(D14))</f>
        <v/>
      </c>
      <c r="H14" s="6">
        <f>E14/E$6</f>
        <v/>
      </c>
      <c r="I14">
        <f>IF(AND(ABS(F14)&gt;93000,ABS(IF(D14=0,1,F14/D14))&gt;0.1),"SIM","")</f>
        <v/>
      </c>
    </row>
    <row r="15">
      <c r="A15" t="inlineStr">
        <is>
          <t>BPA</t>
        </is>
      </c>
      <c r="B15" t="inlineStr">
        <is>
          <t>1.02.01</t>
        </is>
      </c>
      <c r="C15" t="inlineStr">
        <is>
          <t>Ativo Realizável a Longo Prazo</t>
        </is>
      </c>
      <c r="D15" s="5" t="n">
        <v>5993622</v>
      </c>
      <c r="E15" s="5" t="n">
        <v>8424896</v>
      </c>
      <c r="F15" s="5">
        <f>E15-D15</f>
        <v/>
      </c>
      <c r="G15" s="6">
        <f>IF(D15=0,"",F15/ABS(D15))</f>
        <v/>
      </c>
      <c r="H15" s="6">
        <f>E15/E$6</f>
        <v/>
      </c>
      <c r="I15">
        <f>IF(AND(ABS(F15)&gt;93000,ABS(IF(D15=0,1,F15/D15))&gt;0.1),"SIM","")</f>
        <v/>
      </c>
    </row>
    <row r="16">
      <c r="A16" t="inlineStr">
        <is>
          <t>BPA</t>
        </is>
      </c>
      <c r="B16" t="inlineStr">
        <is>
          <t>1.02.03</t>
        </is>
      </c>
      <c r="C16" t="inlineStr">
        <is>
          <t>Imobilizado</t>
        </is>
      </c>
      <c r="D16" s="5" t="n">
        <v>25297509</v>
      </c>
      <c r="E16" s="5" t="n">
        <v>31142804</v>
      </c>
      <c r="F16" s="5">
        <f>E16-D16</f>
        <v/>
      </c>
      <c r="G16" s="6">
        <f>IF(D16=0,"",F16/ABS(D16))</f>
        <v/>
      </c>
      <c r="H16" s="6">
        <f>E16/E$6</f>
        <v/>
      </c>
      <c r="I16">
        <f>IF(AND(ABS(F16)&gt;93000,ABS(IF(D16=0,1,F16/D16))&gt;0.1),"SIM","")</f>
        <v/>
      </c>
    </row>
    <row r="17">
      <c r="A17" t="inlineStr">
        <is>
          <t>BPA</t>
        </is>
      </c>
      <c r="B17" t="inlineStr">
        <is>
          <t>1.02.04</t>
        </is>
      </c>
      <c r="C17" t="inlineStr">
        <is>
          <t>Intangível</t>
        </is>
      </c>
      <c r="D17" s="5" t="n">
        <v>16502462</v>
      </c>
      <c r="E17" s="5" t="n">
        <v>15038640</v>
      </c>
      <c r="F17" s="5">
        <f>E17-D17</f>
        <v/>
      </c>
      <c r="G17" s="6">
        <f>IF(D17=0,"",F17/ABS(D17))</f>
        <v/>
      </c>
      <c r="H17" s="6">
        <f>E17/E$6</f>
        <v/>
      </c>
      <c r="I17">
        <f>IF(AND(ABS(F17)&gt;93000,ABS(IF(D17=0,1,F17/D17))&gt;0.1),"SIM","")</f>
        <v/>
      </c>
    </row>
    <row r="18">
      <c r="A18" t="inlineStr">
        <is>
          <t>BPP</t>
        </is>
      </c>
      <c r="B18" t="inlineStr">
        <is>
          <t>2</t>
        </is>
      </c>
      <c r="C18" t="inlineStr">
        <is>
          <t>Passivo Total</t>
        </is>
      </c>
      <c r="D18" s="5" t="n">
        <v>55746165</v>
      </c>
      <c r="E18" s="5" t="n">
        <v>64179605</v>
      </c>
      <c r="F18" s="5">
        <f>E18-D18</f>
        <v/>
      </c>
      <c r="G18" s="6">
        <f>IF(D18=0,"",F18/ABS(D18))</f>
        <v/>
      </c>
      <c r="H18" s="6">
        <f>E18/E$18</f>
        <v/>
      </c>
      <c r="I18">
        <f>IF(AND(ABS(F18)&gt;93000,ABS(IF(D18=0,1,F18/D18))&gt;0.1),"SIM","")</f>
        <v/>
      </c>
    </row>
    <row r="19">
      <c r="A19" t="inlineStr">
        <is>
          <t>BPP</t>
        </is>
      </c>
      <c r="B19" t="inlineStr">
        <is>
          <t>2.01</t>
        </is>
      </c>
      <c r="C19" t="inlineStr">
        <is>
          <t>Passivo Circulante</t>
        </is>
      </c>
      <c r="D19" s="5" t="n">
        <v>3688444</v>
      </c>
      <c r="E19" s="5" t="n">
        <v>5262495</v>
      </c>
      <c r="F19" s="5">
        <f>E19-D19</f>
        <v/>
      </c>
      <c r="G19" s="6">
        <f>IF(D19=0,"",F19/ABS(D19))</f>
        <v/>
      </c>
      <c r="H19" s="6">
        <f>E19/E$18</f>
        <v/>
      </c>
      <c r="I19">
        <f>IF(AND(ABS(F19)&gt;93000,ABS(IF(D19=0,1,F19/D19))&gt;0.1),"SIM","")</f>
        <v/>
      </c>
    </row>
    <row r="20">
      <c r="A20" t="inlineStr">
        <is>
          <t>BPP</t>
        </is>
      </c>
      <c r="B20" t="inlineStr">
        <is>
          <t>2.01.01</t>
        </is>
      </c>
      <c r="C20" t="inlineStr">
        <is>
          <t>Obrigações Sociais e Trabalhistas</t>
        </is>
      </c>
      <c r="D20" s="5" t="n">
        <v>252270</v>
      </c>
      <c r="E20" s="5" t="n">
        <v>496056</v>
      </c>
      <c r="F20" s="5">
        <f>E20-D20</f>
        <v/>
      </c>
      <c r="G20" s="6">
        <f>IF(D20=0,"",F20/ABS(D20))</f>
        <v/>
      </c>
      <c r="H20" s="6">
        <f>E20/E$18</f>
        <v/>
      </c>
      <c r="I20">
        <f>IF(AND(ABS(F20)&gt;93000,ABS(IF(D20=0,1,F20/D20))&gt;0.1),"SIM","")</f>
        <v/>
      </c>
    </row>
    <row r="21">
      <c r="A21" t="inlineStr">
        <is>
          <t>BPP</t>
        </is>
      </c>
      <c r="B21" t="inlineStr">
        <is>
          <t>2.01.02</t>
        </is>
      </c>
      <c r="C21" t="inlineStr">
        <is>
          <t>Fornecedores</t>
        </is>
      </c>
      <c r="D21" s="5" t="n">
        <v>757596</v>
      </c>
      <c r="E21" s="5" t="n">
        <v>2350166</v>
      </c>
      <c r="F21" s="5">
        <f>E21-D21</f>
        <v/>
      </c>
      <c r="G21" s="6">
        <f>IF(D21=0,"",F21/ABS(D21))</f>
        <v/>
      </c>
      <c r="H21" s="6">
        <f>E21/E$18</f>
        <v/>
      </c>
      <c r="I21">
        <f>IF(AND(ABS(F21)&gt;93000,ABS(IF(D21=0,1,F21/D21))&gt;0.1),"SIM","")</f>
        <v/>
      </c>
    </row>
    <row r="22">
      <c r="A22" t="inlineStr">
        <is>
          <t>BPP</t>
        </is>
      </c>
      <c r="B22" t="inlineStr">
        <is>
          <t>2.01.03</t>
        </is>
      </c>
      <c r="C22" t="inlineStr">
        <is>
          <t>Obrigações Fiscais</t>
        </is>
      </c>
      <c r="D22" s="5" t="n">
        <v>830285</v>
      </c>
      <c r="E22" s="5" t="n">
        <v>401873</v>
      </c>
      <c r="F22" s="5">
        <f>E22-D22</f>
        <v/>
      </c>
      <c r="G22" s="6">
        <f>IF(D22=0,"",F22/ABS(D22))</f>
        <v/>
      </c>
      <c r="H22" s="6">
        <f>E22/E$18</f>
        <v/>
      </c>
      <c r="I22">
        <f>IF(AND(ABS(F22)&gt;93000,ABS(IF(D22=0,1,F22/D22))&gt;0.1),"SIM","")</f>
        <v/>
      </c>
    </row>
    <row r="23">
      <c r="A23" t="inlineStr">
        <is>
          <t>BPP</t>
        </is>
      </c>
      <c r="B23" t="inlineStr">
        <is>
          <t>2.01.04</t>
        </is>
      </c>
      <c r="C23" t="inlineStr">
        <is>
          <t>Empréstimos e Financiamentos</t>
        </is>
      </c>
      <c r="D23" s="5" t="n">
        <v>578893</v>
      </c>
      <c r="E23" s="5" t="n">
        <v>1773324</v>
      </c>
      <c r="F23" s="5">
        <f>E23-D23</f>
        <v/>
      </c>
      <c r="G23" s="6">
        <f>IF(D23=0,"",F23/ABS(D23))</f>
        <v/>
      </c>
      <c r="H23" s="6">
        <f>E23/E$18</f>
        <v/>
      </c>
      <c r="I23">
        <f>IF(AND(ABS(F23)&gt;93000,ABS(IF(D23=0,1,F23/D23))&gt;0.1),"SIM","")</f>
        <v/>
      </c>
    </row>
    <row r="24">
      <c r="A24" t="inlineStr">
        <is>
          <t>BPP</t>
        </is>
      </c>
      <c r="B24" t="inlineStr">
        <is>
          <t>2.01.05</t>
        </is>
      </c>
      <c r="C24" t="inlineStr">
        <is>
          <t>Outras Obrigações</t>
        </is>
      </c>
      <c r="D24" s="5" t="n">
        <v>1269400</v>
      </c>
      <c r="E24" s="5" t="n">
        <v>241076</v>
      </c>
      <c r="F24" s="5">
        <f>E24-D24</f>
        <v/>
      </c>
      <c r="G24" s="6">
        <f>IF(D24=0,"",F24/ABS(D24))</f>
        <v/>
      </c>
      <c r="H24" s="6">
        <f>E24/E$18</f>
        <v/>
      </c>
      <c r="I24">
        <f>IF(AND(ABS(F24)&gt;93000,ABS(IF(D24=0,1,F24/D24))&gt;0.1),"SIM","")</f>
        <v/>
      </c>
    </row>
    <row r="25">
      <c r="A25" t="inlineStr">
        <is>
          <t>BPP</t>
        </is>
      </c>
      <c r="B25" t="inlineStr">
        <is>
          <t>2.02</t>
        </is>
      </c>
      <c r="C25" t="inlineStr">
        <is>
          <t>Passivo Não Circulante</t>
        </is>
      </c>
      <c r="D25" s="5" t="n">
        <v>26133529</v>
      </c>
      <c r="E25" s="5" t="n">
        <v>33137229</v>
      </c>
      <c r="F25" s="5">
        <f>E25-D25</f>
        <v/>
      </c>
      <c r="G25" s="6">
        <f>IF(D25=0,"",F25/ABS(D25))</f>
        <v/>
      </c>
      <c r="H25" s="6">
        <f>E25/E$18</f>
        <v/>
      </c>
      <c r="I25">
        <f>IF(AND(ABS(F25)&gt;93000,ABS(IF(D25=0,1,F25/D25))&gt;0.1),"SIM","")</f>
        <v/>
      </c>
    </row>
    <row r="26">
      <c r="A26" t="inlineStr">
        <is>
          <t>BPP</t>
        </is>
      </c>
      <c r="B26" t="inlineStr">
        <is>
          <t>2.02.01</t>
        </is>
      </c>
      <c r="C26" t="inlineStr">
        <is>
          <t>Empréstimos e Financiamentos</t>
        </is>
      </c>
      <c r="D26" s="5" t="n">
        <v>21854784</v>
      </c>
      <c r="E26" s="5" t="n">
        <v>26664962</v>
      </c>
      <c r="F26" s="5">
        <f>E26-D26</f>
        <v/>
      </c>
      <c r="G26" s="6">
        <f>IF(D26=0,"",F26/ABS(D26))</f>
        <v/>
      </c>
      <c r="H26" s="6">
        <f>E26/E$18</f>
        <v/>
      </c>
      <c r="I26">
        <f>IF(AND(ABS(F26)&gt;93000,ABS(IF(D26=0,1,F26/D26))&gt;0.1),"SIM","")</f>
        <v/>
      </c>
    </row>
    <row r="27">
      <c r="A27" t="inlineStr">
        <is>
          <t>BPP</t>
        </is>
      </c>
      <c r="B27" t="inlineStr">
        <is>
          <t>2.02.02</t>
        </is>
      </c>
      <c r="C27" t="inlineStr">
        <is>
          <t>Outras Obrigações</t>
        </is>
      </c>
      <c r="D27" s="5" t="n">
        <v>132943</v>
      </c>
      <c r="E27" s="5" t="n">
        <v>172554</v>
      </c>
      <c r="F27" s="5">
        <f>E27-D27</f>
        <v/>
      </c>
      <c r="G27" s="6">
        <f>IF(D27=0,"",F27/ABS(D27))</f>
        <v/>
      </c>
      <c r="H27" s="6">
        <f>E27/E$18</f>
        <v/>
      </c>
      <c r="I27">
        <f>IF(AND(ABS(F27)&gt;93000,ABS(IF(D27=0,1,F27/D27))&gt;0.1),"SIM","")</f>
        <v/>
      </c>
    </row>
    <row r="28">
      <c r="A28" t="inlineStr">
        <is>
          <t>BPP</t>
        </is>
      </c>
      <c r="B28" t="inlineStr">
        <is>
          <t>2.02.03</t>
        </is>
      </c>
      <c r="C28" t="inlineStr">
        <is>
          <t>Tributos Diferidos</t>
        </is>
      </c>
      <c r="D28" s="5" t="n">
        <v>0</v>
      </c>
      <c r="E28" s="5" t="n">
        <v>94113</v>
      </c>
      <c r="F28" s="5">
        <f>E28-D28</f>
        <v/>
      </c>
      <c r="G28" s="6">
        <f>IF(D28=0,"",F28/ABS(D28))</f>
        <v/>
      </c>
      <c r="H28" s="6">
        <f>E28/E$18</f>
        <v/>
      </c>
      <c r="I28">
        <f>IF(AND(ABS(F28)&gt;93000,ABS(IF(D28=0,1,F28/D28))&gt;0.1),"SIM","")</f>
        <v/>
      </c>
    </row>
    <row r="29">
      <c r="A29" t="inlineStr">
        <is>
          <t>BPP</t>
        </is>
      </c>
      <c r="B29" t="inlineStr">
        <is>
          <t>2.02.04</t>
        </is>
      </c>
      <c r="C29" t="inlineStr">
        <is>
          <t>Provisões</t>
        </is>
      </c>
      <c r="D29" s="5" t="n">
        <v>4145802</v>
      </c>
      <c r="E29" s="5" t="n">
        <v>6205600</v>
      </c>
      <c r="F29" s="5">
        <f>E29-D29</f>
        <v/>
      </c>
      <c r="G29" s="6">
        <f>IF(D29=0,"",F29/ABS(D29))</f>
        <v/>
      </c>
      <c r="H29" s="6">
        <f>E29/E$18</f>
        <v/>
      </c>
      <c r="I29">
        <f>IF(AND(ABS(F29)&gt;93000,ABS(IF(D29=0,1,F29/D29))&gt;0.1),"SIM","")</f>
        <v/>
      </c>
    </row>
    <row r="30">
      <c r="A30" t="inlineStr">
        <is>
          <t>BPP</t>
        </is>
      </c>
      <c r="B30" t="inlineStr">
        <is>
          <t>2.03</t>
        </is>
      </c>
      <c r="C30" t="inlineStr">
        <is>
          <t>Patrimônio Líquido Consolidado</t>
        </is>
      </c>
      <c r="D30" s="5" t="n">
        <v>25924192</v>
      </c>
      <c r="E30" s="5" t="n">
        <v>25779881</v>
      </c>
      <c r="F30" s="5">
        <f>E30-D30</f>
        <v/>
      </c>
      <c r="G30" s="6">
        <f>IF(D30=0,"",F30/ABS(D30))</f>
        <v/>
      </c>
      <c r="H30" s="6">
        <f>E30/E$18</f>
        <v/>
      </c>
      <c r="I30">
        <f>IF(AND(ABS(F30)&gt;93000,ABS(IF(D30=0,1,F30/D30))&gt;0.1),"SIM","")</f>
        <v/>
      </c>
    </row>
    <row r="31">
      <c r="A31" t="inlineStr">
        <is>
          <t>BPP</t>
        </is>
      </c>
      <c r="B31" t="inlineStr">
        <is>
          <t>2.03.01</t>
        </is>
      </c>
      <c r="C31" t="inlineStr">
        <is>
          <t>Capital Social Realizado</t>
        </is>
      </c>
      <c r="D31" s="5" t="n">
        <v>10611387</v>
      </c>
      <c r="E31" s="5" t="n">
        <v>15510382</v>
      </c>
      <c r="F31" s="5">
        <f>E31-D31</f>
        <v/>
      </c>
      <c r="G31" s="6">
        <f>IF(D31=0,"",F31/ABS(D31))</f>
        <v/>
      </c>
      <c r="H31" s="6">
        <f>E31/E$18</f>
        <v/>
      </c>
      <c r="I31">
        <f>IF(AND(ABS(F31)&gt;93000,ABS(IF(D31=0,1,F31/D31))&gt;0.1),"SIM","")</f>
        <v/>
      </c>
    </row>
    <row r="32">
      <c r="A32" t="inlineStr">
        <is>
          <t>BPP</t>
        </is>
      </c>
      <c r="B32" t="inlineStr">
        <is>
          <t>2.03.02</t>
        </is>
      </c>
      <c r="C32" t="inlineStr">
        <is>
          <t>Reservas de Capital</t>
        </is>
      </c>
      <c r="D32" s="5" t="n">
        <v>-1016199</v>
      </c>
      <c r="E32" s="5" t="n">
        <v>-1388256</v>
      </c>
      <c r="F32" s="5">
        <f>E32-D32</f>
        <v/>
      </c>
      <c r="G32" s="6">
        <f>IF(D32=0,"",F32/ABS(D32))</f>
        <v/>
      </c>
      <c r="H32" s="6">
        <f>E32/E$18</f>
        <v/>
      </c>
      <c r="I32">
        <f>IF(AND(ABS(F32)&gt;93000,ABS(IF(D32=0,1,F32/D32))&gt;0.1),"SIM","")</f>
        <v/>
      </c>
    </row>
    <row r="33">
      <c r="A33" t="inlineStr">
        <is>
          <t>BPP</t>
        </is>
      </c>
      <c r="B33" t="inlineStr">
        <is>
          <t>2.03.04</t>
        </is>
      </c>
      <c r="C33" t="inlineStr">
        <is>
          <t>Reservas de Lucros</t>
        </is>
      </c>
      <c r="D33" s="5" t="n">
        <v>13903347</v>
      </c>
      <c r="E33" s="5" t="n">
        <v>11354826</v>
      </c>
      <c r="F33" s="5">
        <f>E33-D33</f>
        <v/>
      </c>
      <c r="G33" s="6">
        <f>IF(D33=0,"",F33/ABS(D33))</f>
        <v/>
      </c>
      <c r="H33" s="6">
        <f>E33/E$18</f>
        <v/>
      </c>
      <c r="I33">
        <f>IF(AND(ABS(F33)&gt;93000,ABS(IF(D33=0,1,F33/D33))&gt;0.1),"SIM","")</f>
        <v/>
      </c>
    </row>
    <row r="34">
      <c r="A34" t="inlineStr">
        <is>
          <t>BPP</t>
        </is>
      </c>
      <c r="B34" t="inlineStr">
        <is>
          <t>2.03.06</t>
        </is>
      </c>
      <c r="C34" t="inlineStr">
        <is>
          <t>Ajustes de Avaliação Patrimonial</t>
        </is>
      </c>
      <c r="D34" s="5" t="n">
        <v>-1483243</v>
      </c>
      <c r="E34" s="5" t="n">
        <v>-450526</v>
      </c>
      <c r="F34" s="5">
        <f>E34-D34</f>
        <v/>
      </c>
      <c r="G34" s="6">
        <f>IF(D34=0,"",F34/ABS(D34))</f>
        <v/>
      </c>
      <c r="H34" s="6">
        <f>E34/E$18</f>
        <v/>
      </c>
      <c r="I34">
        <f>IF(AND(ABS(F34)&gt;93000,ABS(IF(D34=0,1,F34/D34))&gt;0.1),"SIM","")</f>
        <v/>
      </c>
    </row>
    <row r="35">
      <c r="A35" t="inlineStr">
        <is>
          <t>BPP</t>
        </is>
      </c>
      <c r="B35" t="inlineStr">
        <is>
          <t>2.03.07</t>
        </is>
      </c>
      <c r="C35" t="inlineStr">
        <is>
          <t>Ajustes Acumulados de Conversão</t>
        </is>
      </c>
      <c r="D35" s="5" t="n">
        <v>3908900</v>
      </c>
      <c r="E35" s="5" t="n">
        <v>753455</v>
      </c>
      <c r="F35" s="5">
        <f>E35-D35</f>
        <v/>
      </c>
      <c r="G35" s="6">
        <f>IF(D35=0,"",F35/ABS(D35))</f>
        <v/>
      </c>
      <c r="H35" s="6">
        <f>E35/E$18</f>
        <v/>
      </c>
      <c r="I35">
        <f>IF(AND(ABS(F35)&gt;93000,ABS(IF(D35=0,1,F35/D35))&gt;0.1),"SIM","")</f>
        <v/>
      </c>
    </row>
    <row r="36">
      <c r="A36" t="inlineStr">
        <is>
          <t>DRE</t>
        </is>
      </c>
      <c r="B36" t="inlineStr">
        <is>
          <t>3.01</t>
        </is>
      </c>
      <c r="C36" t="inlineStr">
        <is>
          <t>Receita de Venda de Bens e/ou Serviços</t>
        </is>
      </c>
      <c r="D36" s="5" t="n">
        <v>14360653</v>
      </c>
      <c r="E36" s="5" t="n">
        <v>15583960</v>
      </c>
      <c r="F36" s="5">
        <f>E36-D36</f>
        <v/>
      </c>
      <c r="G36" s="6">
        <f>IF(D36=0,"",F36/ABS(D36))</f>
        <v/>
      </c>
      <c r="H36" s="6">
        <f>E36/E$36</f>
        <v/>
      </c>
      <c r="I36">
        <f>IF(AND(ABS(F36)&gt;93000,ABS(IF(D36=0,1,F36/D36))&gt;0.1),"SIM","")</f>
        <v/>
      </c>
    </row>
    <row r="37">
      <c r="A37" t="inlineStr">
        <is>
          <t>DRE</t>
        </is>
      </c>
      <c r="B37" t="inlineStr">
        <is>
          <t>3.02</t>
        </is>
      </c>
      <c r="C37" t="inlineStr">
        <is>
          <t>Custo dos Bens e/ou Serviços Vendidos</t>
        </is>
      </c>
      <c r="D37" s="5" t="n">
        <v>-7085876</v>
      </c>
      <c r="E37" s="5" t="n">
        <v>-12469053</v>
      </c>
      <c r="F37" s="5">
        <f>E37-D37</f>
        <v/>
      </c>
      <c r="G37" s="6">
        <f>IF(D37=0,"",F37/ABS(D37))</f>
        <v/>
      </c>
      <c r="H37" s="6">
        <f>E37/E$36</f>
        <v/>
      </c>
      <c r="I37">
        <f>IF(AND(ABS(F37)&gt;93000,ABS(IF(D37=0,1,F37/D37))&gt;0.1),"SIM","")</f>
        <v/>
      </c>
    </row>
    <row r="38">
      <c r="A38" t="inlineStr">
        <is>
          <t>DRE</t>
        </is>
      </c>
      <c r="B38" t="inlineStr">
        <is>
          <t>3.03</t>
        </is>
      </c>
      <c r="C38" t="inlineStr">
        <is>
          <t>Resultado Bruto</t>
        </is>
      </c>
      <c r="D38" s="5" t="n">
        <v>7274777</v>
      </c>
      <c r="E38" s="5" t="n">
        <v>3114907</v>
      </c>
      <c r="F38" s="5">
        <f>E38-D38</f>
        <v/>
      </c>
      <c r="G38" s="6">
        <f>IF(D38=0,"",F38/ABS(D38))</f>
        <v/>
      </c>
      <c r="H38" s="6">
        <f>E38/E$36</f>
        <v/>
      </c>
      <c r="I38">
        <f>IF(AND(ABS(F38)&gt;93000,ABS(IF(D38=0,1,F38/D38))&gt;0.1),"SIM","")</f>
        <v/>
      </c>
    </row>
    <row r="39">
      <c r="A39" t="inlineStr">
        <is>
          <t>DRE</t>
        </is>
      </c>
      <c r="B39" t="inlineStr">
        <is>
          <t>3.04</t>
        </is>
      </c>
      <c r="C39" t="inlineStr">
        <is>
          <t>Despesas/Receitas Operacionais</t>
        </is>
      </c>
      <c r="D39" s="5" t="n">
        <v>-329316</v>
      </c>
      <c r="E39" s="5" t="n">
        <v>-1305585</v>
      </c>
      <c r="F39" s="5">
        <f>E39-D39</f>
        <v/>
      </c>
      <c r="G39" s="6">
        <f>IF(D39=0,"",F39/ABS(D39))</f>
        <v/>
      </c>
      <c r="H39" s="6">
        <f>E39/E$36</f>
        <v/>
      </c>
      <c r="I39">
        <f>IF(AND(ABS(F39)&gt;93000,ABS(IF(D39=0,1,F39/D39))&gt;0.1),"SIM","")</f>
        <v/>
      </c>
    </row>
    <row r="40">
      <c r="A40" t="inlineStr">
        <is>
          <t>DRE</t>
        </is>
      </c>
      <c r="B40" t="inlineStr">
        <is>
          <t>3.04.02</t>
        </is>
      </c>
      <c r="C40" t="inlineStr">
        <is>
          <t>Despesas Gerais e Administrativas</t>
        </is>
      </c>
      <c r="D40" s="5" t="n">
        <v>-603173</v>
      </c>
      <c r="E40" s="5" t="n">
        <v>-813717</v>
      </c>
      <c r="F40" s="5">
        <f>E40-D40</f>
        <v/>
      </c>
      <c r="G40" s="6">
        <f>IF(D40=0,"",F40/ABS(D40))</f>
        <v/>
      </c>
      <c r="H40" s="6">
        <f>E40/E$36</f>
        <v/>
      </c>
      <c r="I40">
        <f>IF(AND(ABS(F40)&gt;93000,ABS(IF(D40=0,1,F40/D40))&gt;0.1),"SIM","")</f>
        <v/>
      </c>
    </row>
    <row r="41">
      <c r="A41" t="inlineStr">
        <is>
          <t>DRE</t>
        </is>
      </c>
      <c r="B41" t="inlineStr">
        <is>
          <t>3.04.04</t>
        </is>
      </c>
      <c r="C41" t="inlineStr">
        <is>
          <t>Outras Receitas Operacionais</t>
        </is>
      </c>
      <c r="D41" s="5" t="n">
        <v>273857</v>
      </c>
      <c r="E41" s="5" t="n">
        <v>0</v>
      </c>
      <c r="F41" s="5">
        <f>E41-D41</f>
        <v/>
      </c>
      <c r="G41" s="6">
        <f>IF(D41=0,"",F41/ABS(D41))</f>
        <v/>
      </c>
      <c r="H41" s="6">
        <f>E41/E$36</f>
        <v/>
      </c>
      <c r="I41">
        <f>IF(AND(ABS(F41)&gt;93000,ABS(IF(D41=0,1,F41/D41))&gt;0.1),"SIM","")</f>
        <v/>
      </c>
    </row>
    <row r="42">
      <c r="A42" t="inlineStr">
        <is>
          <t>DRE</t>
        </is>
      </c>
      <c r="B42" t="inlineStr">
        <is>
          <t>3.04.05</t>
        </is>
      </c>
      <c r="C42" t="inlineStr">
        <is>
          <t>Outras Despesas Operacionais</t>
        </is>
      </c>
      <c r="D42" s="5" t="n">
        <v>0</v>
      </c>
      <c r="E42" s="5" t="n">
        <v>-491868</v>
      </c>
      <c r="F42" s="5">
        <f>E42-D42</f>
        <v/>
      </c>
      <c r="G42" s="6">
        <f>IF(D42=0,"",F42/ABS(D42))</f>
        <v/>
      </c>
      <c r="H42" s="6">
        <f>E42/E$36</f>
        <v/>
      </c>
      <c r="I42">
        <f>IF(AND(ABS(F42)&gt;93000,ABS(IF(D42=0,1,F42/D42))&gt;0.1),"SIM","")</f>
        <v/>
      </c>
    </row>
    <row r="43">
      <c r="A43" t="inlineStr">
        <is>
          <t>DRE</t>
        </is>
      </c>
      <c r="B43" t="inlineStr">
        <is>
          <t>3.05</t>
        </is>
      </c>
      <c r="C43" t="inlineStr">
        <is>
          <t>Resultado Antes do Resultado Financeiro e dos Tributos</t>
        </is>
      </c>
      <c r="D43" s="5" t="n">
        <v>6945461</v>
      </c>
      <c r="E43" s="5" t="n">
        <v>1809322</v>
      </c>
      <c r="F43" s="5">
        <f>E43-D43</f>
        <v/>
      </c>
      <c r="G43" s="6">
        <f>IF(D43=0,"",F43/ABS(D43))</f>
        <v/>
      </c>
      <c r="H43" s="6">
        <f>E43/E$36</f>
        <v/>
      </c>
      <c r="I43">
        <f>IF(AND(ABS(F43)&gt;93000,ABS(IF(D43=0,1,F43/D43))&gt;0.1),"SIM","")</f>
        <v/>
      </c>
    </row>
    <row r="44">
      <c r="A44" t="inlineStr">
        <is>
          <t>DRE</t>
        </is>
      </c>
      <c r="B44" t="inlineStr">
        <is>
          <t>3.06</t>
        </is>
      </c>
      <c r="C44" t="inlineStr">
        <is>
          <t>Resultado Financeiro</t>
        </is>
      </c>
      <c r="D44" s="5" t="n">
        <v>-584342</v>
      </c>
      <c r="E44" s="5" t="n">
        <v>-2041935</v>
      </c>
      <c r="F44" s="5">
        <f>E44-D44</f>
        <v/>
      </c>
      <c r="G44" s="6">
        <f>IF(D44=0,"",F44/ABS(D44))</f>
        <v/>
      </c>
      <c r="H44" s="6">
        <f>E44/E$36</f>
        <v/>
      </c>
      <c r="I44">
        <f>IF(AND(ABS(F44)&gt;93000,ABS(IF(D44=0,1,F44/D44))&gt;0.1),"SIM","")</f>
        <v/>
      </c>
    </row>
    <row r="45">
      <c r="A45" t="inlineStr">
        <is>
          <t>DRE</t>
        </is>
      </c>
      <c r="B45" t="inlineStr">
        <is>
          <t>3.06.01</t>
        </is>
      </c>
      <c r="C45" t="inlineStr">
        <is>
          <t>Receitas Financeiras</t>
        </is>
      </c>
      <c r="D45" s="5" t="n">
        <v>7776853</v>
      </c>
      <c r="E45" s="5" t="n">
        <v>7553345</v>
      </c>
      <c r="F45" s="5">
        <f>E45-D45</f>
        <v/>
      </c>
      <c r="G45" s="6">
        <f>IF(D45=0,"",F45/ABS(D45))</f>
        <v/>
      </c>
      <c r="H45" s="6">
        <f>E45/E$36</f>
        <v/>
      </c>
      <c r="I45">
        <f>IF(AND(ABS(F45)&gt;93000,ABS(IF(D45=0,1,F45/D45))&gt;0.1),"SIM","")</f>
        <v/>
      </c>
    </row>
    <row r="46">
      <c r="A46" t="inlineStr">
        <is>
          <t>DRE</t>
        </is>
      </c>
      <c r="B46" t="inlineStr">
        <is>
          <t>3.06.02</t>
        </is>
      </c>
      <c r="C46" t="inlineStr">
        <is>
          <t>Despesas Financeiras</t>
        </is>
      </c>
      <c r="D46" s="5" t="n">
        <v>-8361195</v>
      </c>
      <c r="E46" s="5" t="n">
        <v>-9595280</v>
      </c>
      <c r="F46" s="5">
        <f>E46-D46</f>
        <v/>
      </c>
      <c r="G46" s="6">
        <f>IF(D46=0,"",F46/ABS(D46))</f>
        <v/>
      </c>
      <c r="H46" s="6">
        <f>E46/E$36</f>
        <v/>
      </c>
      <c r="I46">
        <f>IF(AND(ABS(F46)&gt;93000,ABS(IF(D46=0,1,F46/D46))&gt;0.1),"SIM","")</f>
        <v/>
      </c>
    </row>
    <row r="47">
      <c r="A47" t="inlineStr">
        <is>
          <t>DRE</t>
        </is>
      </c>
      <c r="B47" t="inlineStr">
        <is>
          <t>3.07</t>
        </is>
      </c>
      <c r="C47" t="inlineStr">
        <is>
          <t>Resultado Antes dos Tributos sobre o Lucro</t>
        </is>
      </c>
      <c r="D47" s="5" t="n">
        <v>6361119</v>
      </c>
      <c r="E47" s="5" t="n">
        <v>-232613</v>
      </c>
      <c r="F47" s="5">
        <f>E47-D47</f>
        <v/>
      </c>
      <c r="G47" s="6">
        <f>IF(D47=0,"",F47/ABS(D47))</f>
        <v/>
      </c>
      <c r="H47" s="6">
        <f>E47/E$36</f>
        <v/>
      </c>
      <c r="I47">
        <f>IF(AND(ABS(F47)&gt;93000,ABS(IF(D47=0,1,F47/D47))&gt;0.1),"SIM","")</f>
        <v/>
      </c>
    </row>
    <row r="48">
      <c r="A48" t="inlineStr">
        <is>
          <t>DRE</t>
        </is>
      </c>
      <c r="B48" t="inlineStr">
        <is>
          <t>3.08</t>
        </is>
      </c>
      <c r="C48" t="inlineStr">
        <is>
          <t>Imposto de Renda e Contribuição Social sobre o Lucro</t>
        </is>
      </c>
      <c r="D48" s="5" t="n">
        <v>3940487</v>
      </c>
      <c r="E48" s="5" t="n">
        <v>2484092</v>
      </c>
      <c r="F48" s="5">
        <f>E48-D48</f>
        <v/>
      </c>
      <c r="G48" s="6">
        <f>IF(D48=0,"",F48/ABS(D48))</f>
        <v/>
      </c>
      <c r="H48" s="6">
        <f>E48/E$36</f>
        <v/>
      </c>
      <c r="I48">
        <f>IF(AND(ABS(F48)&gt;93000,ABS(IF(D48=0,1,F48/D48))&gt;0.1),"SIM","")</f>
        <v/>
      </c>
    </row>
    <row r="49">
      <c r="A49" t="inlineStr">
        <is>
          <t>DRE</t>
        </is>
      </c>
      <c r="B49" t="inlineStr">
        <is>
          <t>3.08.01</t>
        </is>
      </c>
      <c r="C49" t="inlineStr">
        <is>
          <t>Corrente</t>
        </is>
      </c>
      <c r="D49" s="5" t="n">
        <v>-567521</v>
      </c>
      <c r="E49" s="5" t="n">
        <v>-419518</v>
      </c>
      <c r="F49" s="5">
        <f>E49-D49</f>
        <v/>
      </c>
      <c r="G49" s="6">
        <f>IF(D49=0,"",F49/ABS(D49))</f>
        <v/>
      </c>
      <c r="H49" s="6">
        <f>E49/E$36</f>
        <v/>
      </c>
      <c r="I49">
        <f>IF(AND(ABS(F49)&gt;93000,ABS(IF(D49=0,1,F49/D49))&gt;0.1),"SIM","")</f>
        <v/>
      </c>
    </row>
    <row r="50">
      <c r="A50" t="inlineStr">
        <is>
          <t>DRE</t>
        </is>
      </c>
      <c r="B50" t="inlineStr">
        <is>
          <t>3.08.02</t>
        </is>
      </c>
      <c r="C50" t="inlineStr">
        <is>
          <t>Diferido</t>
        </is>
      </c>
      <c r="D50" s="5" t="n">
        <v>4508008</v>
      </c>
      <c r="E50" s="5" t="n">
        <v>2903610</v>
      </c>
      <c r="F50" s="5">
        <f>E50-D50</f>
        <v/>
      </c>
      <c r="G50" s="6">
        <f>IF(D50=0,"",F50/ABS(D50))</f>
        <v/>
      </c>
      <c r="H50" s="6">
        <f>E50/E$36</f>
        <v/>
      </c>
      <c r="I50">
        <f>IF(AND(ABS(F50)&gt;93000,ABS(IF(D50=0,1,F50/D50))&gt;0.1),"SIM","")</f>
        <v/>
      </c>
    </row>
    <row r="51">
      <c r="A51" t="inlineStr">
        <is>
          <t>DRE</t>
        </is>
      </c>
      <c r="B51" t="inlineStr">
        <is>
          <t>3.09</t>
        </is>
      </c>
      <c r="C51" t="inlineStr">
        <is>
          <t>Resultado Líquido das Operações Continuadas</t>
        </is>
      </c>
      <c r="D51" s="5" t="n">
        <v>10301606</v>
      </c>
      <c r="E51" s="5" t="n">
        <v>2251479</v>
      </c>
      <c r="F51" s="5">
        <f>E51-D51</f>
        <v/>
      </c>
      <c r="G51" s="6">
        <f>IF(D51=0,"",F51/ABS(D51))</f>
        <v/>
      </c>
      <c r="H51" s="6">
        <f>E51/E$36</f>
        <v/>
      </c>
      <c r="I51">
        <f>IF(AND(ABS(F51)&gt;93000,ABS(IF(D51=0,1,F51/D51))&gt;0.1),"SIM","")</f>
        <v/>
      </c>
    </row>
    <row r="52">
      <c r="A52" t="inlineStr">
        <is>
          <t>DRE</t>
        </is>
      </c>
      <c r="B52" t="inlineStr">
        <is>
          <t>3.11</t>
        </is>
      </c>
      <c r="C52" t="inlineStr">
        <is>
          <t>Lucro/Prejuízo Consolidado do Período</t>
        </is>
      </c>
      <c r="D52" s="5" t="n">
        <v>10301606</v>
      </c>
      <c r="E52" s="5" t="n">
        <v>2251479</v>
      </c>
      <c r="F52" s="5">
        <f>E52-D52</f>
        <v/>
      </c>
      <c r="G52" s="6">
        <f>IF(D52=0,"",F52/ABS(D52))</f>
        <v/>
      </c>
      <c r="H52" s="6">
        <f>E52/E$36</f>
        <v/>
      </c>
      <c r="I52">
        <f>IF(AND(ABS(F52)&gt;93000,ABS(IF(D52=0,1,F52/D52))&gt;0.1),"SIM","")</f>
        <v/>
      </c>
    </row>
    <row r="53">
      <c r="A53" t="inlineStr">
        <is>
          <t>DRE</t>
        </is>
      </c>
      <c r="B53" t="inlineStr">
        <is>
          <t>3.11.01</t>
        </is>
      </c>
      <c r="C53" t="inlineStr">
        <is>
          <t>Atribuído a Sócios da Empresa Controladora</t>
        </is>
      </c>
      <c r="D53" s="5" t="n">
        <v>10301606</v>
      </c>
      <c r="E53" s="5" t="n">
        <v>2251479</v>
      </c>
      <c r="F53" s="5">
        <f>E53-D53</f>
        <v/>
      </c>
      <c r="G53" s="6">
        <f>IF(D53=0,"",F53/ABS(D53))</f>
        <v/>
      </c>
      <c r="H53" s="6">
        <f>E53/E$36</f>
        <v/>
      </c>
      <c r="I53">
        <f>IF(AND(ABS(F53)&gt;93000,ABS(IF(D53=0,1,F53/D53))&gt;0.1),"SIM","")</f>
        <v/>
      </c>
    </row>
    <row r="54">
      <c r="A54" t="inlineStr">
        <is>
          <t>DRE</t>
        </is>
      </c>
      <c r="B54" t="inlineStr">
        <is>
          <t>3.99.01</t>
        </is>
      </c>
      <c r="C54" t="inlineStr">
        <is>
          <t>Lucro Básico por Ação</t>
        </is>
      </c>
      <c r="D54" s="5" t="n">
        <v>12.34643</v>
      </c>
      <c r="E54" s="5" t="n">
        <v>2.7716787556</v>
      </c>
      <c r="F54" s="5">
        <f>E54-D54</f>
        <v/>
      </c>
      <c r="G54" s="6">
        <f>IF(D54=0,"",F54/ABS(D54))</f>
        <v/>
      </c>
      <c r="H54" s="6">
        <f>E54/E$36</f>
        <v/>
      </c>
      <c r="I54">
        <f>IF(AND(ABS(F54)&gt;93000,ABS(IF(D54=0,1,F54/D54))&gt;0.1),"SIM","")</f>
        <v/>
      </c>
    </row>
    <row r="55">
      <c r="A55" t="inlineStr">
        <is>
          <t>DRE</t>
        </is>
      </c>
      <c r="B55" t="inlineStr">
        <is>
          <t>3.99.02</t>
        </is>
      </c>
      <c r="C55" t="inlineStr">
        <is>
          <t>Lucro Diluído por Ação</t>
        </is>
      </c>
      <c r="D55" s="5" t="n">
        <v>12.29292</v>
      </c>
      <c r="E55" s="5" t="n">
        <v>2.7697420542</v>
      </c>
      <c r="F55" s="5">
        <f>E55-D55</f>
        <v/>
      </c>
      <c r="G55" s="6">
        <f>IF(D55=0,"",F55/ABS(D55))</f>
        <v/>
      </c>
      <c r="H55" s="6">
        <f>E55/E$36</f>
        <v/>
      </c>
      <c r="I55">
        <f>IF(AND(ABS(F55)&gt;93000,ABS(IF(D55=0,1,F55/D55))&gt;0.1),"SIM","")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6" customWidth="1" min="4" max="4"/>
  </cols>
  <sheetData>
    <row r="1">
      <c r="A1" s="1" t="inlineStr">
        <is>
          <t>Teste de Benford - primeiro dígito do custo (base sintética)</t>
        </is>
      </c>
    </row>
    <row r="2">
      <c r="A2" t="inlineStr">
        <is>
          <t>Norma: NBC TA 240 A44 / NBC TA 520 | Preparador: Matrícula 231019943 | Data: 23/10/2026 | Revisão: ________ (campo em branco)</t>
        </is>
      </c>
    </row>
    <row r="3">
      <c r="A3" s="9" t="inlineStr">
        <is>
          <t>Células amarelas = premissas editáveis; demais valores são fórmulas.  *** DADOS SINTÉTICOS PARA FINS DIDÁTICOS ***</t>
        </is>
      </c>
    </row>
    <row r="5">
      <c r="A5" s="4" t="inlineStr">
        <is>
          <t>Dígito</t>
        </is>
      </c>
      <c r="B5" s="4" t="inlineStr">
        <is>
          <t>Observado</t>
        </is>
      </c>
      <c r="C5" s="4" t="inlineStr">
        <is>
          <t>Esperado = LOG10(1+1/d)</t>
        </is>
      </c>
      <c r="D5" s="4" t="inlineStr">
        <is>
          <t>Desvio absoluto</t>
        </is>
      </c>
    </row>
    <row r="6">
      <c r="A6" t="n">
        <v>1</v>
      </c>
      <c r="B6" s="6" t="n">
        <v>0.2998273550602328</v>
      </c>
      <c r="C6" s="6">
        <f>LOG10(1+1/A6)</f>
        <v/>
      </c>
      <c r="D6" s="10">
        <f>ABS(B6-C6)</f>
        <v/>
      </c>
    </row>
    <row r="7">
      <c r="A7" t="n">
        <v>2</v>
      </c>
      <c r="B7" s="6" t="n">
        <v>0.1756059451587079</v>
      </c>
      <c r="C7" s="6">
        <f>LOG10(1+1/A7)</f>
        <v/>
      </c>
      <c r="D7" s="10">
        <f>ABS(B7-C7)</f>
        <v/>
      </c>
    </row>
    <row r="8">
      <c r="A8" t="n">
        <v>3</v>
      </c>
      <c r="B8" s="6" t="n">
        <v>0.1250238712975376</v>
      </c>
      <c r="C8" s="6">
        <f>LOG10(1+1/A8)</f>
        <v/>
      </c>
      <c r="D8" s="10">
        <f>ABS(B8-C8)</f>
        <v/>
      </c>
    </row>
    <row r="9">
      <c r="A9" t="n">
        <v>4</v>
      </c>
      <c r="B9" s="6" t="n">
        <v>0.097510633577994</v>
      </c>
      <c r="C9" s="6">
        <f>LOG10(1+1/A9)</f>
        <v/>
      </c>
      <c r="D9" s="10">
        <f>ABS(B9-C9)</f>
        <v/>
      </c>
    </row>
    <row r="10">
      <c r="A10" t="n">
        <v>5</v>
      </c>
      <c r="B10" s="6" t="n">
        <v>0.0797561751912115</v>
      </c>
      <c r="C10" s="6">
        <f>LOG10(1+1/A10)</f>
        <v/>
      </c>
      <c r="D10" s="10">
        <f>ABS(B10-C10)</f>
        <v/>
      </c>
    </row>
    <row r="11">
      <c r="A11" t="n">
        <v>6</v>
      </c>
      <c r="B11" s="6" t="n">
        <v>0.0674993489646126</v>
      </c>
      <c r="C11" s="6">
        <f>LOG10(1+1/A11)</f>
        <v/>
      </c>
      <c r="D11" s="10">
        <f>ABS(B11-C11)</f>
        <v/>
      </c>
    </row>
    <row r="12">
      <c r="A12" t="n">
        <v>7</v>
      </c>
      <c r="B12" s="6" t="n">
        <v>0.0578987471185656</v>
      </c>
      <c r="C12" s="6">
        <f>LOG10(1+1/A12)</f>
        <v/>
      </c>
      <c r="D12" s="10">
        <f>ABS(B12-C12)</f>
        <v/>
      </c>
    </row>
    <row r="13">
      <c r="A13" t="n">
        <v>8</v>
      </c>
      <c r="B13" s="6" t="n">
        <v>0.0509929495278787</v>
      </c>
      <c r="C13" s="6">
        <f>LOG10(1+1/A13)</f>
        <v/>
      </c>
      <c r="D13" s="10">
        <f>ABS(B13-C13)</f>
        <v/>
      </c>
    </row>
    <row r="14">
      <c r="A14" t="n">
        <v>9</v>
      </c>
      <c r="B14" s="6" t="n">
        <v>0.045884974103259</v>
      </c>
      <c r="C14" s="6">
        <f>LOG10(1+1/A14)</f>
        <v/>
      </c>
      <c r="D14" s="10">
        <f>ABS(B14-C14)</f>
        <v/>
      </c>
    </row>
    <row r="15">
      <c r="C15" s="7" t="inlineStr">
        <is>
          <t>MAD (conformidade próxima &lt; 0,006)</t>
        </is>
      </c>
      <c r="D15" s="10">
        <f>AVERAGE(D6:D14)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