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ros_MUS" sheetId="1" state="visible" r:id="rId1"/>
    <sheet xmlns:r="http://schemas.openxmlformats.org/officeDocument/2006/relationships" name="Amostra_MUS" sheetId="2" state="visible" r:id="rId2"/>
    <sheet xmlns:r="http://schemas.openxmlformats.org/officeDocument/2006/relationships" name="Avaliacao_MUS" sheetId="3" state="visible" r:id="rId3"/>
    <sheet xmlns:r="http://schemas.openxmlformats.org/officeDocument/2006/relationships" name="Atributos_Contro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;[Red]-#,##0.00"/>
    <numFmt numFmtId="165" formatCode="#,##0;[Red]-#,##0"/>
    <numFmt numFmtId="166" formatCode="0.0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DE2E1"/>
      </patternFill>
    </fill>
    <fill>
      <patternFill patternType="solid">
        <fgColor rgb="00FFF4CC"/>
      </patternFill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4" fontId="0" fillId="3" borderId="0" pivotButton="0" quotePrefix="0" xfId="0"/>
    <xf numFmtId="165" fontId="0" fillId="3" borderId="0" pivotButton="0" quotePrefix="0" xfId="0"/>
    <xf numFmtId="10" fontId="0" fillId="3" borderId="0" pivotButton="0" quotePrefix="0" xfId="0"/>
    <xf numFmtId="2" fontId="0" fillId="3" borderId="0" pivotButton="0" quotePrefix="0" xfId="0"/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4" borderId="0" applyAlignment="1" pivotButton="0" quotePrefix="0" xfId="0">
      <alignment vertical="center" wrapText="1"/>
    </xf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</cols>
  <sheetData>
    <row r="1">
      <c r="A1" s="1" t="inlineStr">
        <is>
          <t>PT 530 - Amostragem por unidade monetária (MUS) - Imobilizado</t>
        </is>
      </c>
    </row>
    <row r="2">
      <c r="A2" t="inlineStr">
        <is>
          <t>Norma: NBC TA 530 itens 6-15, A10-A23 | Preparador: Matrícula 231019943 | Data: 23/10/2026 | Revisão: ________ (campo em branco)</t>
        </is>
      </c>
    </row>
    <row r="3">
      <c r="A3" s="2" t="inlineStr">
        <is>
          <t>Células amarelas = premissas editáveis; demais valores são fórmulas.  *** DADOS SINTÉTICOS PARA FINS DIDÁTICOS ***</t>
        </is>
      </c>
    </row>
    <row r="5">
      <c r="A5" t="inlineStr">
        <is>
          <t>Valor contábil da população (itens &gt; 0) R$</t>
        </is>
      </c>
      <c r="B5" s="3" t="n">
        <v>31469686871.19</v>
      </c>
    </row>
    <row r="6">
      <c r="A6" t="inlineStr">
        <is>
          <t>Itens na população</t>
        </is>
      </c>
      <c r="B6" s="4" t="n">
        <v>513684</v>
      </c>
    </row>
    <row r="7">
      <c r="A7" t="inlineStr">
        <is>
          <t>Nível de confiança</t>
        </is>
      </c>
      <c r="B7" s="5" t="n">
        <v>0.95</v>
      </c>
    </row>
    <row r="8">
      <c r="A8" t="inlineStr">
        <is>
          <t>Fator de confiabilidade (0 erros, Poisson 95%)</t>
        </is>
      </c>
      <c r="B8" s="6" t="n">
        <v>3</v>
      </c>
    </row>
    <row r="9">
      <c r="A9" t="inlineStr">
        <is>
          <t>Distorção tolerável R$ (materialidade de execução)</t>
        </is>
      </c>
      <c r="B9" s="3" t="n">
        <v>93000000</v>
      </c>
    </row>
    <row r="10">
      <c r="A10" t="inlineStr">
        <is>
          <t>Distorção esperada (% da tolerável)</t>
        </is>
      </c>
      <c r="B10" s="5" t="n">
        <v>0.1</v>
      </c>
    </row>
    <row r="11">
      <c r="A11" t="inlineStr">
        <is>
          <t>Fator de expansão</t>
        </is>
      </c>
      <c r="B11" s="6" t="n">
        <v>1.6</v>
      </c>
    </row>
    <row r="12">
      <c r="A12" s="7" t="inlineStr">
        <is>
          <t>Distorção esperada R$</t>
        </is>
      </c>
      <c r="B12" s="8">
        <f>B9*B10</f>
        <v/>
      </c>
    </row>
    <row r="13">
      <c r="A13" s="7" t="inlineStr">
        <is>
          <t>Tamanho da amostra n = VC x FC / (DT - DE x FE)</t>
        </is>
      </c>
      <c r="B13" s="9">
        <f>ROUNDUP(B5*B8/(B9-B12*B11),0)</f>
        <v/>
      </c>
    </row>
    <row r="14">
      <c r="A14" s="7" t="inlineStr">
        <is>
          <t>Intervalo amostral J = VC / n</t>
        </is>
      </c>
      <c r="B14" s="8">
        <f>B5/B13</f>
        <v/>
      </c>
    </row>
    <row r="15">
      <c r="A15" s="7" t="inlineStr">
        <is>
          <t>Início aleatório (semente 231019943) R$</t>
        </is>
      </c>
      <c r="B15" s="8" t="n">
        <v>23063371.71</v>
      </c>
    </row>
    <row r="16">
      <c r="A16" s="7" t="inlineStr">
        <is>
          <t>Itens distintos selecionados (seleção sistemática PPS)</t>
        </is>
      </c>
      <c r="B16" s="9" t="n">
        <v>1198</v>
      </c>
    </row>
    <row r="17">
      <c r="A17" s="7" t="inlineStr">
        <is>
          <t>Itens do estrato topo (&gt;= J) - 100% testados</t>
        </is>
      </c>
      <c r="B17" s="9" t="n">
        <v>15</v>
      </c>
    </row>
    <row r="19">
      <c r="A19" s="7" t="inlineStr">
        <is>
          <t>Avaliação - ver aba Avaliacao_MUS (distorções ordenadas por taint, fatores incrementais)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03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14" customWidth="1" min="4" max="4"/>
    <col width="34" customWidth="1" min="5" max="5"/>
    <col width="18" customWidth="1" min="6" max="6"/>
    <col width="18" customWidth="1" min="7" max="7"/>
    <col width="18" customWidth="1" min="8" max="8"/>
    <col width="16" customWidth="1" min="9" max="9"/>
    <col width="8" customWidth="1" min="10" max="10"/>
  </cols>
  <sheetData>
    <row r="1">
      <c r="A1" s="1" t="inlineStr">
        <is>
          <t>Amostra selecionada e resultado do teste (valor auditado = documentação-suporte simulada)</t>
        </is>
      </c>
    </row>
    <row r="2">
      <c r="A2" t="inlineStr">
        <is>
          <t>Norma: NBC TA 530 item 9-11 | Preparador: Matrícula 231019943 | Data: 23/10/2026 | Revisão: ________ (campo em branco)</t>
        </is>
      </c>
    </row>
    <row r="3">
      <c r="A3" s="2" t="inlineStr">
        <is>
          <t>Células amarelas = premissas editáveis; demais valores são fórmulas.  *** DADOS SINTÉTICOS PARA FINS DIDÁTICOS ***</t>
        </is>
      </c>
    </row>
    <row r="5">
      <c r="A5" s="10" t="inlineStr">
        <is>
          <t>id_registro</t>
        </is>
      </c>
      <c r="B5" s="10" t="inlineStr">
        <is>
          <t>classe_ne</t>
        </is>
      </c>
      <c r="C5" s="10" t="inlineStr">
        <is>
          <t>entidade</t>
        </is>
      </c>
      <c r="D5" s="10" t="inlineStr">
        <is>
          <t>campo_ugc</t>
        </is>
      </c>
      <c r="E5" s="10" t="inlineStr">
        <is>
          <t>descricao</t>
        </is>
      </c>
      <c r="F5" s="10" t="inlineStr">
        <is>
          <t>estrato</t>
        </is>
      </c>
      <c r="G5" s="10" t="inlineStr">
        <is>
          <t>valor_contabil_brl</t>
        </is>
      </c>
      <c r="H5" s="10" t="inlineStr">
        <is>
          <t>valor_auditado_brl</t>
        </is>
      </c>
      <c r="I5" s="10" t="inlineStr">
        <is>
          <t>distorcao_brl</t>
        </is>
      </c>
      <c r="J5" s="10" t="inlineStr">
        <is>
          <t>taint</t>
        </is>
      </c>
    </row>
    <row r="6">
      <c r="A6" t="inlineStr">
        <is>
          <t>IMB0002437</t>
        </is>
      </c>
      <c r="B6" t="inlineStr">
        <is>
          <t>Plataforma e Sonda - Polvo A</t>
        </is>
      </c>
      <c r="C6" t="inlineStr">
        <is>
          <t>Lux Holding</t>
        </is>
      </c>
      <c r="D6" t="inlineStr">
        <is>
          <t>Polvo &amp; TBMT</t>
        </is>
      </c>
      <c r="E6" t="inlineStr">
        <is>
          <t>Bomba de transferência de carga</t>
        </is>
      </c>
      <c r="F6" t="inlineStr">
        <is>
          <t>Amostral</t>
        </is>
      </c>
      <c r="G6" s="8" t="n">
        <v>5866.29</v>
      </c>
      <c r="H6" s="8" t="n">
        <v>5866.29</v>
      </c>
      <c r="I6" s="8">
        <f>G6-H6</f>
        <v/>
      </c>
      <c r="J6" s="11">
        <f>IF(G6=0,0,MIN(1,I6/G6))</f>
        <v/>
      </c>
    </row>
    <row r="7">
      <c r="A7" t="inlineStr">
        <is>
          <t>IMB0002539</t>
        </is>
      </c>
      <c r="B7" t="inlineStr">
        <is>
          <t>Plataforma Peregrino</t>
        </is>
      </c>
      <c r="C7" t="inlineStr">
        <is>
          <t>Prio Tigris</t>
        </is>
      </c>
      <c r="D7" t="inlineStr">
        <is>
          <t>Peregrino</t>
        </is>
      </c>
      <c r="E7" t="inlineStr">
        <is>
          <t>Módulo de acomodações</t>
        </is>
      </c>
      <c r="F7" t="inlineStr">
        <is>
          <t>Amostral</t>
        </is>
      </c>
      <c r="G7" s="8" t="n">
        <v>8169773.47</v>
      </c>
      <c r="H7" s="8" t="n">
        <v>8169773.47</v>
      </c>
      <c r="I7" s="8">
        <f>G7-H7</f>
        <v/>
      </c>
      <c r="J7" s="11">
        <f>IF(G7=0,0,MIN(1,I7/G7))</f>
        <v/>
      </c>
    </row>
    <row r="8">
      <c r="A8" t="inlineStr">
        <is>
          <t>IMB0002550</t>
        </is>
      </c>
      <c r="B8" t="inlineStr">
        <is>
          <t>Plataforma Peregrino</t>
        </is>
      </c>
      <c r="C8" t="inlineStr">
        <is>
          <t>Prio Tigris</t>
        </is>
      </c>
      <c r="D8" t="inlineStr">
        <is>
          <t>Peregrino</t>
        </is>
      </c>
      <c r="E8" t="inlineStr">
        <is>
          <t>Guindaste offshore</t>
        </is>
      </c>
      <c r="F8" t="inlineStr">
        <is>
          <t>Amostral</t>
        </is>
      </c>
      <c r="G8" s="8" t="n">
        <v>2924060.75</v>
      </c>
      <c r="H8" s="8" t="n">
        <v>2924060.75</v>
      </c>
      <c r="I8" s="8">
        <f>G8-H8</f>
        <v/>
      </c>
      <c r="J8" s="11">
        <f>IF(G8=0,0,MIN(1,I8/G8))</f>
        <v/>
      </c>
    </row>
    <row r="9">
      <c r="A9" t="inlineStr">
        <is>
          <t>IMB0002573</t>
        </is>
      </c>
      <c r="B9" t="inlineStr">
        <is>
          <t>Plataforma Peregrino</t>
        </is>
      </c>
      <c r="C9" t="inlineStr">
        <is>
          <t>Prio Tigris</t>
        </is>
      </c>
      <c r="D9" t="inlineStr">
        <is>
          <t>Peregrino</t>
        </is>
      </c>
      <c r="E9" t="inlineStr">
        <is>
          <t>Sistema de ancoragem - linha</t>
        </is>
      </c>
      <c r="F9" t="inlineStr">
        <is>
          <t>Amostral</t>
        </is>
      </c>
      <c r="G9" s="8" t="n">
        <v>19205816.71</v>
      </c>
      <c r="H9" s="8" t="n">
        <v>19205816.71</v>
      </c>
      <c r="I9" s="8">
        <f>G9-H9</f>
        <v/>
      </c>
      <c r="J9" s="11">
        <f>IF(G9=0,0,MIN(1,I9/G9))</f>
        <v/>
      </c>
    </row>
    <row r="10">
      <c r="A10" t="inlineStr">
        <is>
          <t>IMB0002612</t>
        </is>
      </c>
      <c r="B10" t="inlineStr">
        <is>
          <t>Plataforma Peregrino</t>
        </is>
      </c>
      <c r="C10" t="inlineStr">
        <is>
          <t>Prio Tigris</t>
        </is>
      </c>
      <c r="D10" t="inlineStr">
        <is>
          <t>Peregrino</t>
        </is>
      </c>
      <c r="E10" t="inlineStr">
        <is>
          <t>Compressor de gás</t>
        </is>
      </c>
      <c r="F10" t="inlineStr">
        <is>
          <t>Amostral</t>
        </is>
      </c>
      <c r="G10" s="8" t="n">
        <v>2349637.38</v>
      </c>
      <c r="H10" s="8" t="n">
        <v>2349637.38</v>
      </c>
      <c r="I10" s="8">
        <f>G10-H10</f>
        <v/>
      </c>
      <c r="J10" s="11">
        <f>IF(G10=0,0,MIN(1,I10/G10))</f>
        <v/>
      </c>
    </row>
    <row r="11">
      <c r="A11" t="inlineStr">
        <is>
          <t>IMB0002668</t>
        </is>
      </c>
      <c r="B11" t="inlineStr">
        <is>
          <t>Plataforma Peregrino</t>
        </is>
      </c>
      <c r="C11" t="inlineStr">
        <is>
          <t>Prio Tigris</t>
        </is>
      </c>
      <c r="D11" t="inlineStr">
        <is>
          <t>Peregrino</t>
        </is>
      </c>
      <c r="E11" t="inlineStr">
        <is>
          <t>Planta de processo - separador trifásico</t>
        </is>
      </c>
      <c r="F11" t="inlineStr">
        <is>
          <t>Amostral</t>
        </is>
      </c>
      <c r="G11" s="8" t="n">
        <v>3839995.5</v>
      </c>
      <c r="H11" s="8" t="n">
        <v>3839995.5</v>
      </c>
      <c r="I11" s="8">
        <f>G11-H11</f>
        <v/>
      </c>
      <c r="J11" s="11">
        <f>IF(G11=0,0,MIN(1,I11/G11))</f>
        <v/>
      </c>
    </row>
    <row r="12">
      <c r="A12" t="inlineStr">
        <is>
          <t>IMB0002720</t>
        </is>
      </c>
      <c r="B12" t="inlineStr">
        <is>
          <t>Plataforma Peregrino</t>
        </is>
      </c>
      <c r="C12" t="inlineStr">
        <is>
          <t>Prio Tigris</t>
        </is>
      </c>
      <c r="D12" t="inlineStr">
        <is>
          <t>Peregrino</t>
        </is>
      </c>
      <c r="E12" t="inlineStr">
        <is>
          <t>Guindaste offshore</t>
        </is>
      </c>
      <c r="F12" t="inlineStr">
        <is>
          <t>Amostral</t>
        </is>
      </c>
      <c r="G12" s="8" t="n">
        <v>342827.59</v>
      </c>
      <c r="H12" s="8" t="n">
        <v>342827.59</v>
      </c>
      <c r="I12" s="8">
        <f>G12-H12</f>
        <v/>
      </c>
      <c r="J12" s="11">
        <f>IF(G12=0,0,MIN(1,I12/G12))</f>
        <v/>
      </c>
    </row>
    <row r="13">
      <c r="A13" t="inlineStr">
        <is>
          <t>IMB0002812</t>
        </is>
      </c>
      <c r="B13" t="inlineStr">
        <is>
          <t>Plataforma Peregrino</t>
        </is>
      </c>
      <c r="C13" t="inlineStr">
        <is>
          <t>Prio Tigris</t>
        </is>
      </c>
      <c r="D13" t="inlineStr">
        <is>
          <t>Peregrino</t>
        </is>
      </c>
      <c r="E13" t="inlineStr">
        <is>
          <t>Trocador de calor</t>
        </is>
      </c>
      <c r="F13" t="inlineStr">
        <is>
          <t>Amostral</t>
        </is>
      </c>
      <c r="G13" s="8" t="n">
        <v>9386968</v>
      </c>
      <c r="H13" s="8" t="n">
        <v>9386968</v>
      </c>
      <c r="I13" s="8">
        <f>G13-H13</f>
        <v/>
      </c>
      <c r="J13" s="11">
        <f>IF(G13=0,0,MIN(1,I13/G13))</f>
        <v/>
      </c>
    </row>
    <row r="14">
      <c r="A14" t="inlineStr">
        <is>
          <t>IMB0002854</t>
        </is>
      </c>
      <c r="B14" t="inlineStr">
        <is>
          <t>Plataforma Peregrino</t>
        </is>
      </c>
      <c r="C14" t="inlineStr">
        <is>
          <t>Prio Tigris</t>
        </is>
      </c>
      <c r="D14" t="inlineStr">
        <is>
          <t>Peregrino</t>
        </is>
      </c>
      <c r="E14" t="inlineStr">
        <is>
          <t>Sistema de medição fiscal</t>
        </is>
      </c>
      <c r="F14" t="inlineStr">
        <is>
          <t>Amostral</t>
        </is>
      </c>
      <c r="G14" s="8" t="n">
        <v>2701824.49</v>
      </c>
      <c r="H14" s="8" t="n">
        <v>2701824.49</v>
      </c>
      <c r="I14" s="8">
        <f>G14-H14</f>
        <v/>
      </c>
      <c r="J14" s="11">
        <f>IF(G14=0,0,MIN(1,I14/G14))</f>
        <v/>
      </c>
    </row>
    <row r="15">
      <c r="A15" t="inlineStr">
        <is>
          <t>IMB0002902</t>
        </is>
      </c>
      <c r="B15" t="inlineStr">
        <is>
          <t>Plataforma Peregrino</t>
        </is>
      </c>
      <c r="C15" t="inlineStr">
        <is>
          <t>Prio Tigris</t>
        </is>
      </c>
      <c r="D15" t="inlineStr">
        <is>
          <t>Peregrino</t>
        </is>
      </c>
      <c r="E15" t="inlineStr">
        <is>
          <t>Módulo de acomodações</t>
        </is>
      </c>
      <c r="F15" t="inlineStr">
        <is>
          <t>Amostral</t>
        </is>
      </c>
      <c r="G15" s="8" t="n">
        <v>5617889.81</v>
      </c>
      <c r="H15" s="8" t="n">
        <v>5617889.81</v>
      </c>
      <c r="I15" s="8">
        <f>G15-H15</f>
        <v/>
      </c>
      <c r="J15" s="11">
        <f>IF(G15=0,0,MIN(1,I15/G15))</f>
        <v/>
      </c>
    </row>
    <row r="16">
      <c r="A16" t="inlineStr">
        <is>
          <t>IMB0002926</t>
        </is>
      </c>
      <c r="B16" t="inlineStr">
        <is>
          <t>Plataforma Peregrino</t>
        </is>
      </c>
      <c r="C16" t="inlineStr">
        <is>
          <t>Prio Tigris</t>
        </is>
      </c>
      <c r="D16" t="inlineStr">
        <is>
          <t>Peregrino</t>
        </is>
      </c>
      <c r="E16" t="inlineStr">
        <is>
          <t>Trocador de calor</t>
        </is>
      </c>
      <c r="F16" t="inlineStr">
        <is>
          <t>Amostral</t>
        </is>
      </c>
      <c r="G16" s="8" t="n">
        <v>187429.51</v>
      </c>
      <c r="H16" s="8" t="n">
        <v>187429.51</v>
      </c>
      <c r="I16" s="8">
        <f>G16-H16</f>
        <v/>
      </c>
      <c r="J16" s="11">
        <f>IF(G16=0,0,MIN(1,I16/G16))</f>
        <v/>
      </c>
    </row>
    <row r="17">
      <c r="A17" t="inlineStr">
        <is>
          <t>IMB0002969</t>
        </is>
      </c>
      <c r="B17" t="inlineStr">
        <is>
          <t>Plataforma Peregrino</t>
        </is>
      </c>
      <c r="C17" t="inlineStr">
        <is>
          <t>Prio Tigris</t>
        </is>
      </c>
      <c r="D17" t="inlineStr">
        <is>
          <t>Peregrino</t>
        </is>
      </c>
      <c r="E17" t="inlineStr">
        <is>
          <t>Válvula de segurança (SDV)</t>
        </is>
      </c>
      <c r="F17" t="inlineStr">
        <is>
          <t>Amostral</t>
        </is>
      </c>
      <c r="G17" s="8" t="n">
        <v>5554628.92</v>
      </c>
      <c r="H17" s="8" t="n">
        <v>5554628.92</v>
      </c>
      <c r="I17" s="8">
        <f>G17-H17</f>
        <v/>
      </c>
      <c r="J17" s="11">
        <f>IF(G17=0,0,MIN(1,I17/G17))</f>
        <v/>
      </c>
    </row>
    <row r="18">
      <c r="A18" t="inlineStr">
        <is>
          <t>IMB0003034</t>
        </is>
      </c>
      <c r="B18" t="inlineStr">
        <is>
          <t>Plataforma Peregrino</t>
        </is>
      </c>
      <c r="C18" t="inlineStr">
        <is>
          <t>Prio Tigris</t>
        </is>
      </c>
      <c r="D18" t="inlineStr">
        <is>
          <t>Peregrino</t>
        </is>
      </c>
      <c r="E18" t="inlineStr">
        <is>
          <t>Painel elétrico de média tensão</t>
        </is>
      </c>
      <c r="F18" t="inlineStr">
        <is>
          <t>Amostral</t>
        </is>
      </c>
      <c r="G18" s="8" t="n">
        <v>3929829.66</v>
      </c>
      <c r="H18" s="8" t="n">
        <v>3929829.66</v>
      </c>
      <c r="I18" s="8">
        <f>G18-H18</f>
        <v/>
      </c>
      <c r="J18" s="11">
        <f>IF(G18=0,0,MIN(1,I18/G18))</f>
        <v/>
      </c>
    </row>
    <row r="19">
      <c r="A19" t="inlineStr">
        <is>
          <t>IMB0003076</t>
        </is>
      </c>
      <c r="B19" t="inlineStr">
        <is>
          <t>Plataforma Peregrino</t>
        </is>
      </c>
      <c r="C19" t="inlineStr">
        <is>
          <t>Prio Tigris</t>
        </is>
      </c>
      <c r="D19" t="inlineStr">
        <is>
          <t>Peregrino</t>
        </is>
      </c>
      <c r="E19" t="inlineStr">
        <is>
          <t>Planta de processo - separador trifásico</t>
        </is>
      </c>
      <c r="F19" t="inlineStr">
        <is>
          <t>Amostral</t>
        </is>
      </c>
      <c r="G19" s="8" t="n">
        <v>853190.59</v>
      </c>
      <c r="H19" s="8" t="n">
        <v>853190.59</v>
      </c>
      <c r="I19" s="8">
        <f>G19-H19</f>
        <v/>
      </c>
      <c r="J19" s="11">
        <f>IF(G19=0,0,MIN(1,I19/G19))</f>
        <v/>
      </c>
    </row>
    <row r="20">
      <c r="A20" t="inlineStr">
        <is>
          <t>IMB0003106</t>
        </is>
      </c>
      <c r="B20" t="inlineStr">
        <is>
          <t>Plataforma Peregrino</t>
        </is>
      </c>
      <c r="C20" t="inlineStr">
        <is>
          <t>Prio Tigris</t>
        </is>
      </c>
      <c r="D20" t="inlineStr">
        <is>
          <t>Peregrino</t>
        </is>
      </c>
      <c r="E20" t="inlineStr">
        <is>
          <t>Módulo de acomodações</t>
        </is>
      </c>
      <c r="F20" t="inlineStr">
        <is>
          <t>Amostral</t>
        </is>
      </c>
      <c r="G20" s="8" t="n">
        <v>5732159.36</v>
      </c>
      <c r="H20" s="8" t="n">
        <v>5732159.36</v>
      </c>
      <c r="I20" s="8">
        <f>G20-H20</f>
        <v/>
      </c>
      <c r="J20" s="11">
        <f>IF(G20=0,0,MIN(1,I20/G20))</f>
        <v/>
      </c>
    </row>
    <row r="21">
      <c r="A21" t="inlineStr">
        <is>
          <t>IMB0003165</t>
        </is>
      </c>
      <c r="B21" t="inlineStr">
        <is>
          <t>Plataforma Peregrino</t>
        </is>
      </c>
      <c r="C21" t="inlineStr">
        <is>
          <t>Prio Tigris</t>
        </is>
      </c>
      <c r="D21" t="inlineStr">
        <is>
          <t>Peregrino</t>
        </is>
      </c>
      <c r="E21" t="inlineStr">
        <is>
          <t>Compressor de gás</t>
        </is>
      </c>
      <c r="F21" t="inlineStr">
        <is>
          <t>Amostral</t>
        </is>
      </c>
      <c r="G21" s="8" t="n">
        <v>6748115.3</v>
      </c>
      <c r="H21" s="8" t="n">
        <v>6748115.3</v>
      </c>
      <c r="I21" s="8">
        <f>G21-H21</f>
        <v/>
      </c>
      <c r="J21" s="11">
        <f>IF(G21=0,0,MIN(1,I21/G21))</f>
        <v/>
      </c>
    </row>
    <row r="22">
      <c r="A22" t="inlineStr">
        <is>
          <t>IMB0003214</t>
        </is>
      </c>
      <c r="B22" t="inlineStr">
        <is>
          <t>Plataforma Peregrino</t>
        </is>
      </c>
      <c r="C22" t="inlineStr">
        <is>
          <t>Prio Tigris</t>
        </is>
      </c>
      <c r="D22" t="inlineStr">
        <is>
          <t>Peregrino</t>
        </is>
      </c>
      <c r="E22" t="inlineStr">
        <is>
          <t>Trocador de calor</t>
        </is>
      </c>
      <c r="F22" t="inlineStr">
        <is>
          <t>Topo (&gt;= intervalo)</t>
        </is>
      </c>
      <c r="G22" s="8" t="n">
        <v>94499377.34999999</v>
      </c>
      <c r="H22" s="8" t="n">
        <v>94499377.34999999</v>
      </c>
      <c r="I22" s="8">
        <f>G22-H22</f>
        <v/>
      </c>
      <c r="J22" s="11">
        <f>IF(G22=0,0,MIN(1,I22/G22))</f>
        <v/>
      </c>
    </row>
    <row r="23">
      <c r="A23" t="inlineStr">
        <is>
          <t>IMB0003238</t>
        </is>
      </c>
      <c r="B23" t="inlineStr">
        <is>
          <t>Plataforma Peregrino</t>
        </is>
      </c>
      <c r="C23" t="inlineStr">
        <is>
          <t>Prio Tigris</t>
        </is>
      </c>
      <c r="D23" t="inlineStr">
        <is>
          <t>Peregrino</t>
        </is>
      </c>
      <c r="E23" t="inlineStr">
        <is>
          <t>Sistema de tratamento de óleo</t>
        </is>
      </c>
      <c r="F23" t="inlineStr">
        <is>
          <t>Amostral</t>
        </is>
      </c>
      <c r="G23" s="8" t="n">
        <v>2189634.06</v>
      </c>
      <c r="H23" s="8" t="n">
        <v>2189634.06</v>
      </c>
      <c r="I23" s="8">
        <f>G23-H23</f>
        <v/>
      </c>
      <c r="J23" s="11">
        <f>IF(G23=0,0,MIN(1,I23/G23))</f>
        <v/>
      </c>
    </row>
    <row r="24">
      <c r="A24" t="inlineStr">
        <is>
          <t>IMB0003258</t>
        </is>
      </c>
      <c r="B24" t="inlineStr">
        <is>
          <t>Plataforma Peregrino</t>
        </is>
      </c>
      <c r="C24" t="inlineStr">
        <is>
          <t>Prio Tigris</t>
        </is>
      </c>
      <c r="D24" t="inlineStr">
        <is>
          <t>Peregrino</t>
        </is>
      </c>
      <c r="E24" t="inlineStr">
        <is>
          <t>Planta de processo - separador trifásico</t>
        </is>
      </c>
      <c r="F24" t="inlineStr">
        <is>
          <t>Amostral</t>
        </is>
      </c>
      <c r="G24" s="8" t="n">
        <v>715883.78</v>
      </c>
      <c r="H24" s="8" t="n">
        <v>715883.78</v>
      </c>
      <c r="I24" s="8">
        <f>G24-H24</f>
        <v/>
      </c>
      <c r="J24" s="11">
        <f>IF(G24=0,0,MIN(1,I24/G24))</f>
        <v/>
      </c>
    </row>
    <row r="25">
      <c r="A25" t="inlineStr">
        <is>
          <t>IMB0003301</t>
        </is>
      </c>
      <c r="B25" t="inlineStr">
        <is>
          <t>Plataforma Peregrino</t>
        </is>
      </c>
      <c r="C25" t="inlineStr">
        <is>
          <t>Prio Tigris</t>
        </is>
      </c>
      <c r="D25" t="inlineStr">
        <is>
          <t>Peregrino</t>
        </is>
      </c>
      <c r="E25" t="inlineStr">
        <is>
          <t>Sistema de tratamento de óleo</t>
        </is>
      </c>
      <c r="F25" t="inlineStr">
        <is>
          <t>Amostral</t>
        </is>
      </c>
      <c r="G25" s="8" t="n">
        <v>1572938.04</v>
      </c>
      <c r="H25" s="8" t="n">
        <v>1572938.04</v>
      </c>
      <c r="I25" s="8">
        <f>G25-H25</f>
        <v/>
      </c>
      <c r="J25" s="11">
        <f>IF(G25=0,0,MIN(1,I25/G25))</f>
        <v/>
      </c>
    </row>
    <row r="26">
      <c r="A26" t="inlineStr">
        <is>
          <t>IMB0003354</t>
        </is>
      </c>
      <c r="B26" t="inlineStr">
        <is>
          <t>Plataforma Peregrino</t>
        </is>
      </c>
      <c r="C26" t="inlineStr">
        <is>
          <t>Prio Tigris</t>
        </is>
      </c>
      <c r="D26" t="inlineStr">
        <is>
          <t>Peregrino</t>
        </is>
      </c>
      <c r="E26" t="inlineStr">
        <is>
          <t>Casco e estrutura naval</t>
        </is>
      </c>
      <c r="F26" t="inlineStr">
        <is>
          <t>Amostral</t>
        </is>
      </c>
      <c r="G26" s="8" t="n">
        <v>901341.8100000001</v>
      </c>
      <c r="H26" s="8" t="n">
        <v>901341.8100000001</v>
      </c>
      <c r="I26" s="8">
        <f>G26-H26</f>
        <v/>
      </c>
      <c r="J26" s="11">
        <f>IF(G26=0,0,MIN(1,I26/G26))</f>
        <v/>
      </c>
    </row>
    <row r="27">
      <c r="A27" t="inlineStr">
        <is>
          <t>IMB0003421</t>
        </is>
      </c>
      <c r="B27" t="inlineStr">
        <is>
          <t>Plataforma Peregrino</t>
        </is>
      </c>
      <c r="C27" t="inlineStr">
        <is>
          <t>Prio Tigris</t>
        </is>
      </c>
      <c r="D27" t="inlineStr">
        <is>
          <t>Peregrino</t>
        </is>
      </c>
      <c r="E27" t="inlineStr">
        <is>
          <t>Sistema de tratamento de óleo</t>
        </is>
      </c>
      <c r="F27" t="inlineStr">
        <is>
          <t>Amostral</t>
        </is>
      </c>
      <c r="G27" s="8" t="n">
        <v>7518186.72</v>
      </c>
      <c r="H27" s="8" t="n">
        <v>7518186.72</v>
      </c>
      <c r="I27" s="8">
        <f>G27-H27</f>
        <v/>
      </c>
      <c r="J27" s="11">
        <f>IF(G27=0,0,MIN(1,I27/G27))</f>
        <v/>
      </c>
    </row>
    <row r="28">
      <c r="A28" t="inlineStr">
        <is>
          <t>IMB0003459</t>
        </is>
      </c>
      <c r="B28" t="inlineStr">
        <is>
          <t>Plataforma Peregrino</t>
        </is>
      </c>
      <c r="C28" t="inlineStr">
        <is>
          <t>Prio Tigris</t>
        </is>
      </c>
      <c r="D28" t="inlineStr">
        <is>
          <t>Peregrino</t>
        </is>
      </c>
      <c r="E28" t="inlineStr">
        <is>
          <t>Instrumentação e automação</t>
        </is>
      </c>
      <c r="F28" t="inlineStr">
        <is>
          <t>Amostral</t>
        </is>
      </c>
      <c r="G28" s="8" t="n">
        <v>13199043.31</v>
      </c>
      <c r="H28" s="8" t="n">
        <v>13199043.31</v>
      </c>
      <c r="I28" s="8">
        <f>G28-H28</f>
        <v/>
      </c>
      <c r="J28" s="11">
        <f>IF(G28=0,0,MIN(1,I28/G28))</f>
        <v/>
      </c>
    </row>
    <row r="29">
      <c r="A29" t="inlineStr">
        <is>
          <t>IMB0003489</t>
        </is>
      </c>
      <c r="B29" t="inlineStr">
        <is>
          <t>Plataforma Peregrino</t>
        </is>
      </c>
      <c r="C29" t="inlineStr">
        <is>
          <t>Prio Tigris</t>
        </is>
      </c>
      <c r="D29" t="inlineStr">
        <is>
          <t>Peregrino</t>
        </is>
      </c>
      <c r="E29" t="inlineStr">
        <is>
          <t>Turbogerador principal</t>
        </is>
      </c>
      <c r="F29" t="inlineStr">
        <is>
          <t>Amostral</t>
        </is>
      </c>
      <c r="G29" s="8" t="n">
        <v>544013.27</v>
      </c>
      <c r="H29" s="8" t="n">
        <v>544013.27</v>
      </c>
      <c r="I29" s="8">
        <f>G29-H29</f>
        <v/>
      </c>
      <c r="J29" s="11">
        <f>IF(G29=0,0,MIN(1,I29/G29))</f>
        <v/>
      </c>
    </row>
    <row r="30">
      <c r="A30" t="inlineStr">
        <is>
          <t>IMB0003527</t>
        </is>
      </c>
      <c r="B30" t="inlineStr">
        <is>
          <t>Plataforma Peregrino</t>
        </is>
      </c>
      <c r="C30" t="inlineStr">
        <is>
          <t>Prio Tigris</t>
        </is>
      </c>
      <c r="D30" t="inlineStr">
        <is>
          <t>Peregrino</t>
        </is>
      </c>
      <c r="E30" t="inlineStr">
        <is>
          <t>Sistema de combate a incêndio (dilúvio)</t>
        </is>
      </c>
      <c r="F30" t="inlineStr">
        <is>
          <t>Amostral</t>
        </is>
      </c>
      <c r="G30" s="8" t="n">
        <v>3164629.03</v>
      </c>
      <c r="H30" s="8" t="n">
        <v>3164629.03</v>
      </c>
      <c r="I30" s="8">
        <f>G30-H30</f>
        <v/>
      </c>
      <c r="J30" s="11">
        <f>IF(G30=0,0,MIN(1,I30/G30))</f>
        <v/>
      </c>
    </row>
    <row r="31">
      <c r="A31" t="inlineStr">
        <is>
          <t>IMB0003572</t>
        </is>
      </c>
      <c r="B31" t="inlineStr">
        <is>
          <t>Plataforma Peregrino</t>
        </is>
      </c>
      <c r="C31" t="inlineStr">
        <is>
          <t>Prio Tigris</t>
        </is>
      </c>
      <c r="D31" t="inlineStr">
        <is>
          <t>Peregrino</t>
        </is>
      </c>
      <c r="E31" t="inlineStr">
        <is>
          <t>Trocador de calor</t>
        </is>
      </c>
      <c r="F31" t="inlineStr">
        <is>
          <t>Amostral</t>
        </is>
      </c>
      <c r="G31" s="8" t="n">
        <v>9730736.51</v>
      </c>
      <c r="H31" s="8" t="n">
        <v>9730736.51</v>
      </c>
      <c r="I31" s="8">
        <f>G31-H31</f>
        <v/>
      </c>
      <c r="J31" s="11">
        <f>IF(G31=0,0,MIN(1,I31/G31))</f>
        <v/>
      </c>
    </row>
    <row r="32">
      <c r="A32" t="inlineStr">
        <is>
          <t>IMB0003645</t>
        </is>
      </c>
      <c r="B32" t="inlineStr">
        <is>
          <t>Plataforma Peregrino</t>
        </is>
      </c>
      <c r="C32" t="inlineStr">
        <is>
          <t>Prio Tigris</t>
        </is>
      </c>
      <c r="D32" t="inlineStr">
        <is>
          <t>Peregrino</t>
        </is>
      </c>
      <c r="E32" t="inlineStr">
        <is>
          <t>Trocador de calor</t>
        </is>
      </c>
      <c r="F32" t="inlineStr">
        <is>
          <t>Amostral</t>
        </is>
      </c>
      <c r="G32" s="8" t="n">
        <v>2177721.23</v>
      </c>
      <c r="H32" s="8" t="n">
        <v>2177721.23</v>
      </c>
      <c r="I32" s="8">
        <f>G32-H32</f>
        <v/>
      </c>
      <c r="J32" s="11">
        <f>IF(G32=0,0,MIN(1,I32/G32))</f>
        <v/>
      </c>
    </row>
    <row r="33">
      <c r="A33" t="inlineStr">
        <is>
          <t>IMB0003673</t>
        </is>
      </c>
      <c r="B33" t="inlineStr">
        <is>
          <t>Plataforma Peregrino</t>
        </is>
      </c>
      <c r="C33" t="inlineStr">
        <is>
          <t>Prio Tigris</t>
        </is>
      </c>
      <c r="D33" t="inlineStr">
        <is>
          <t>Peregrino</t>
        </is>
      </c>
      <c r="E33" t="inlineStr">
        <is>
          <t>Sistema de flare</t>
        </is>
      </c>
      <c r="F33" t="inlineStr">
        <is>
          <t>Amostral</t>
        </is>
      </c>
      <c r="G33" s="8" t="n">
        <v>685186.1800000001</v>
      </c>
      <c r="H33" s="8" t="n">
        <v>685186.1800000001</v>
      </c>
      <c r="I33" s="8">
        <f>G33-H33</f>
        <v/>
      </c>
      <c r="J33" s="11">
        <f>IF(G33=0,0,MIN(1,I33/G33))</f>
        <v/>
      </c>
    </row>
    <row r="34">
      <c r="A34" t="inlineStr">
        <is>
          <t>IMB0003726</t>
        </is>
      </c>
      <c r="B34" t="inlineStr">
        <is>
          <t>Plataforma Peregrino</t>
        </is>
      </c>
      <c r="C34" t="inlineStr">
        <is>
          <t>Prio Tigris</t>
        </is>
      </c>
      <c r="D34" t="inlineStr">
        <is>
          <t>Peregrino</t>
        </is>
      </c>
      <c r="E34" t="inlineStr">
        <is>
          <t>Trocador de calor</t>
        </is>
      </c>
      <c r="F34" t="inlineStr">
        <is>
          <t>Amostral</t>
        </is>
      </c>
      <c r="G34" s="8" t="n">
        <v>179718.65</v>
      </c>
      <c r="H34" s="8" t="n">
        <v>179718.65</v>
      </c>
      <c r="I34" s="8">
        <f>G34-H34</f>
        <v/>
      </c>
      <c r="J34" s="11">
        <f>IF(G34=0,0,MIN(1,I34/G34))</f>
        <v/>
      </c>
    </row>
    <row r="35">
      <c r="A35" t="inlineStr">
        <is>
          <t>IMB0003754</t>
        </is>
      </c>
      <c r="B35" t="inlineStr">
        <is>
          <t>Plataforma Peregrino</t>
        </is>
      </c>
      <c r="C35" t="inlineStr">
        <is>
          <t>Prio Tigris</t>
        </is>
      </c>
      <c r="D35" t="inlineStr">
        <is>
          <t>Peregrino</t>
        </is>
      </c>
      <c r="E35" t="inlineStr">
        <is>
          <t>Casco e estrutura naval</t>
        </is>
      </c>
      <c r="F35" t="inlineStr">
        <is>
          <t>Amostral</t>
        </is>
      </c>
      <c r="G35" s="8" t="n">
        <v>522983.41</v>
      </c>
      <c r="H35" s="8" t="n">
        <v>522983.41</v>
      </c>
      <c r="I35" s="8">
        <f>G35-H35</f>
        <v/>
      </c>
      <c r="J35" s="11">
        <f>IF(G35=0,0,MIN(1,I35/G35))</f>
        <v/>
      </c>
    </row>
    <row r="36">
      <c r="A36" t="inlineStr">
        <is>
          <t>IMB0003799</t>
        </is>
      </c>
      <c r="B36" t="inlineStr">
        <is>
          <t>Plataforma Peregrino</t>
        </is>
      </c>
      <c r="C36" t="inlineStr">
        <is>
          <t>Prio Tigris</t>
        </is>
      </c>
      <c r="D36" t="inlineStr">
        <is>
          <t>Peregrino</t>
        </is>
      </c>
      <c r="E36" t="inlineStr">
        <is>
          <t>Módulo de acomodações</t>
        </is>
      </c>
      <c r="F36" t="inlineStr">
        <is>
          <t>Amostral</t>
        </is>
      </c>
      <c r="G36" s="8" t="n">
        <v>1624581.44</v>
      </c>
      <c r="H36" s="8" t="n">
        <v>1624581.44</v>
      </c>
      <c r="I36" s="8">
        <f>G36-H36</f>
        <v/>
      </c>
      <c r="J36" s="11">
        <f>IF(G36=0,0,MIN(1,I36/G36))</f>
        <v/>
      </c>
    </row>
    <row r="37">
      <c r="A37" t="inlineStr">
        <is>
          <t>IMB0003863</t>
        </is>
      </c>
      <c r="B37" t="inlineStr">
        <is>
          <t>Plataforma Peregrino</t>
        </is>
      </c>
      <c r="C37" t="inlineStr">
        <is>
          <t>Prio Tigris</t>
        </is>
      </c>
      <c r="D37" t="inlineStr">
        <is>
          <t>Peregrino</t>
        </is>
      </c>
      <c r="E37" t="inlineStr">
        <is>
          <t>Instrumentação e automação</t>
        </is>
      </c>
      <c r="F37" t="inlineStr">
        <is>
          <t>Amostral</t>
        </is>
      </c>
      <c r="G37" s="8" t="n">
        <v>12622.3</v>
      </c>
      <c r="H37" s="8" t="n">
        <v>12622.3</v>
      </c>
      <c r="I37" s="8">
        <f>G37-H37</f>
        <v/>
      </c>
      <c r="J37" s="11">
        <f>IF(G37=0,0,MIN(1,I37/G37))</f>
        <v/>
      </c>
    </row>
    <row r="38">
      <c r="A38" t="inlineStr">
        <is>
          <t>IMB0003904</t>
        </is>
      </c>
      <c r="B38" t="inlineStr">
        <is>
          <t>Plataforma Peregrino</t>
        </is>
      </c>
      <c r="C38" t="inlineStr">
        <is>
          <t>Prio Tigris</t>
        </is>
      </c>
      <c r="D38" t="inlineStr">
        <is>
          <t>Peregrino</t>
        </is>
      </c>
      <c r="E38" t="inlineStr">
        <is>
          <t>Turret/swivel</t>
        </is>
      </c>
      <c r="F38" t="inlineStr">
        <is>
          <t>Amostral</t>
        </is>
      </c>
      <c r="G38" s="8" t="n">
        <v>11422140.67</v>
      </c>
      <c r="H38" s="8" t="n">
        <v>11422140.67</v>
      </c>
      <c r="I38" s="8">
        <f>G38-H38</f>
        <v/>
      </c>
      <c r="J38" s="11">
        <f>IF(G38=0,0,MIN(1,I38/G38))</f>
        <v/>
      </c>
    </row>
    <row r="39">
      <c r="A39" t="inlineStr">
        <is>
          <t>IMB0003953</t>
        </is>
      </c>
      <c r="B39" t="inlineStr">
        <is>
          <t>Plataforma Peregrino</t>
        </is>
      </c>
      <c r="C39" t="inlineStr">
        <is>
          <t>Prio Tigris</t>
        </is>
      </c>
      <c r="D39" t="inlineStr">
        <is>
          <t>Peregrino</t>
        </is>
      </c>
      <c r="E39" t="inlineStr">
        <is>
          <t>Sistema de tratamento de óleo</t>
        </is>
      </c>
      <c r="F39" t="inlineStr">
        <is>
          <t>Amostral</t>
        </is>
      </c>
      <c r="G39" s="8" t="n">
        <v>2275490.78</v>
      </c>
      <c r="H39" s="8" t="n">
        <v>2275490.78</v>
      </c>
      <c r="I39" s="8">
        <f>G39-H39</f>
        <v/>
      </c>
      <c r="J39" s="11">
        <f>IF(G39=0,0,MIN(1,I39/G39))</f>
        <v/>
      </c>
    </row>
    <row r="40">
      <c r="A40" t="inlineStr">
        <is>
          <t>IMB0004001</t>
        </is>
      </c>
      <c r="B40" t="inlineStr">
        <is>
          <t>Plataforma Peregrino</t>
        </is>
      </c>
      <c r="C40" t="inlineStr">
        <is>
          <t>Prio Tigris</t>
        </is>
      </c>
      <c r="D40" t="inlineStr">
        <is>
          <t>Peregrino</t>
        </is>
      </c>
      <c r="E40" t="inlineStr">
        <is>
          <t>Bomba de transferência de carga</t>
        </is>
      </c>
      <c r="F40" t="inlineStr">
        <is>
          <t>Amostral</t>
        </is>
      </c>
      <c r="G40" s="8" t="n">
        <v>194779.92</v>
      </c>
      <c r="H40" s="8" t="n">
        <v>194779.92</v>
      </c>
      <c r="I40" s="8">
        <f>G40-H40</f>
        <v/>
      </c>
      <c r="J40" s="11">
        <f>IF(G40=0,0,MIN(1,I40/G40))</f>
        <v/>
      </c>
    </row>
    <row r="41">
      <c r="A41" t="inlineStr">
        <is>
          <t>IMB0004074</t>
        </is>
      </c>
      <c r="B41" t="inlineStr">
        <is>
          <t>Plataforma Peregrino</t>
        </is>
      </c>
      <c r="C41" t="inlineStr">
        <is>
          <t>Prio Tigris</t>
        </is>
      </c>
      <c r="D41" t="inlineStr">
        <is>
          <t>Peregrino</t>
        </is>
      </c>
      <c r="E41" t="inlineStr">
        <is>
          <t>Módulo de acomodações</t>
        </is>
      </c>
      <c r="F41" t="inlineStr">
        <is>
          <t>Amostral</t>
        </is>
      </c>
      <c r="G41" s="8" t="n">
        <v>474706.92</v>
      </c>
      <c r="H41" s="8" t="n">
        <v>474706.92</v>
      </c>
      <c r="I41" s="8">
        <f>G41-H41</f>
        <v/>
      </c>
      <c r="J41" s="11">
        <f>IF(G41=0,0,MIN(1,I41/G41))</f>
        <v/>
      </c>
    </row>
    <row r="42">
      <c r="A42" t="inlineStr">
        <is>
          <t>IMB0004126</t>
        </is>
      </c>
      <c r="B42" t="inlineStr">
        <is>
          <t>Plataforma Peregrino</t>
        </is>
      </c>
      <c r="C42" t="inlineStr">
        <is>
          <t>Prio Tigris</t>
        </is>
      </c>
      <c r="D42" t="inlineStr">
        <is>
          <t>Peregrino</t>
        </is>
      </c>
      <c r="E42" t="inlineStr">
        <is>
          <t>Sistema de combate a incêndio (dilúvio)</t>
        </is>
      </c>
      <c r="F42" t="inlineStr">
        <is>
          <t>Amostral</t>
        </is>
      </c>
      <c r="G42" s="8" t="n">
        <v>6767640.18</v>
      </c>
      <c r="H42" s="8" t="n">
        <v>6767640.18</v>
      </c>
      <c r="I42" s="8">
        <f>G42-H42</f>
        <v/>
      </c>
      <c r="J42" s="11">
        <f>IF(G42=0,0,MIN(1,I42/G42))</f>
        <v/>
      </c>
    </row>
    <row r="43">
      <c r="A43" t="inlineStr">
        <is>
          <t>IMB0004185</t>
        </is>
      </c>
      <c r="B43" t="inlineStr">
        <is>
          <t>Plataforma Peregrino</t>
        </is>
      </c>
      <c r="C43" t="inlineStr">
        <is>
          <t>Prio Tigris</t>
        </is>
      </c>
      <c r="D43" t="inlineStr">
        <is>
          <t>Peregrino</t>
        </is>
      </c>
      <c r="E43" t="inlineStr">
        <is>
          <t>Sistema de tratamento de óleo</t>
        </is>
      </c>
      <c r="F43" t="inlineStr">
        <is>
          <t>Amostral</t>
        </is>
      </c>
      <c r="G43" s="8" t="n">
        <v>593555.84</v>
      </c>
      <c r="H43" s="8" t="n">
        <v>593555.84</v>
      </c>
      <c r="I43" s="8">
        <f>G43-H43</f>
        <v/>
      </c>
      <c r="J43" s="11">
        <f>IF(G43=0,0,MIN(1,I43/G43))</f>
        <v/>
      </c>
    </row>
    <row r="44">
      <c r="A44" t="inlineStr">
        <is>
          <t>IMB0004252</t>
        </is>
      </c>
      <c r="B44" t="inlineStr">
        <is>
          <t>Plataforma Peregrino</t>
        </is>
      </c>
      <c r="C44" t="inlineStr">
        <is>
          <t>Prio Tigris</t>
        </is>
      </c>
      <c r="D44" t="inlineStr">
        <is>
          <t>Peregrino</t>
        </is>
      </c>
      <c r="E44" t="inlineStr">
        <is>
          <t>Tanque de carga</t>
        </is>
      </c>
      <c r="F44" t="inlineStr">
        <is>
          <t>Amostral</t>
        </is>
      </c>
      <c r="G44" s="8" t="n">
        <v>1378725.65</v>
      </c>
      <c r="H44" s="8" t="n">
        <v>1378725.65</v>
      </c>
      <c r="I44" s="8">
        <f>G44-H44</f>
        <v/>
      </c>
      <c r="J44" s="11">
        <f>IF(G44=0,0,MIN(1,I44/G44))</f>
        <v/>
      </c>
    </row>
    <row r="45">
      <c r="A45" t="inlineStr">
        <is>
          <t>IMB0004288</t>
        </is>
      </c>
      <c r="B45" t="inlineStr">
        <is>
          <t>Plataforma Peregrino</t>
        </is>
      </c>
      <c r="C45" t="inlineStr">
        <is>
          <t>Prio Tigris</t>
        </is>
      </c>
      <c r="D45" t="inlineStr">
        <is>
          <t>Peregrino</t>
        </is>
      </c>
      <c r="E45" t="inlineStr">
        <is>
          <t>Painel elétrico de média tensão</t>
        </is>
      </c>
      <c r="F45" t="inlineStr">
        <is>
          <t>Amostral</t>
        </is>
      </c>
      <c r="G45" s="8" t="n">
        <v>23075110.88</v>
      </c>
      <c r="H45" s="8" t="n">
        <v>23075110.88</v>
      </c>
      <c r="I45" s="8">
        <f>G45-H45</f>
        <v/>
      </c>
      <c r="J45" s="11">
        <f>IF(G45=0,0,MIN(1,I45/G45))</f>
        <v/>
      </c>
    </row>
    <row r="46">
      <c r="A46" t="inlineStr">
        <is>
          <t>IMB0004326</t>
        </is>
      </c>
      <c r="B46" t="inlineStr">
        <is>
          <t>Plataforma Peregrino</t>
        </is>
      </c>
      <c r="C46" t="inlineStr">
        <is>
          <t>Prio Tigris</t>
        </is>
      </c>
      <c r="D46" t="inlineStr">
        <is>
          <t>Peregrino</t>
        </is>
      </c>
      <c r="E46" t="inlineStr">
        <is>
          <t>Instrumentação e automação</t>
        </is>
      </c>
      <c r="F46" t="inlineStr">
        <is>
          <t>Amostral</t>
        </is>
      </c>
      <c r="G46" s="8" t="n">
        <v>9348081.699999999</v>
      </c>
      <c r="H46" s="8" t="n">
        <v>9348081.699999999</v>
      </c>
      <c r="I46" s="8">
        <f>G46-H46</f>
        <v/>
      </c>
      <c r="J46" s="11">
        <f>IF(G46=0,0,MIN(1,I46/G46))</f>
        <v/>
      </c>
    </row>
    <row r="47">
      <c r="A47" t="inlineStr">
        <is>
          <t>IMB0004354</t>
        </is>
      </c>
      <c r="B47" t="inlineStr">
        <is>
          <t>Plataforma Peregrino</t>
        </is>
      </c>
      <c r="C47" t="inlineStr">
        <is>
          <t>Prio Tigris</t>
        </is>
      </c>
      <c r="D47" t="inlineStr">
        <is>
          <t>Peregrino</t>
        </is>
      </c>
      <c r="E47" t="inlineStr">
        <is>
          <t>Planta de processo - separador trifásico</t>
        </is>
      </c>
      <c r="F47" t="inlineStr">
        <is>
          <t>Amostral</t>
        </is>
      </c>
      <c r="G47" s="8" t="n">
        <v>6922200.36</v>
      </c>
      <c r="H47" s="8" t="n">
        <v>6922200.36</v>
      </c>
      <c r="I47" s="8">
        <f>G47-H47</f>
        <v/>
      </c>
      <c r="J47" s="11">
        <f>IF(G47=0,0,MIN(1,I47/G47))</f>
        <v/>
      </c>
    </row>
    <row r="48">
      <c r="A48" t="inlineStr">
        <is>
          <t>IMB0004383</t>
        </is>
      </c>
      <c r="B48" t="inlineStr">
        <is>
          <t>Plataforma Peregrino</t>
        </is>
      </c>
      <c r="C48" t="inlineStr">
        <is>
          <t>Prio Tigris</t>
        </is>
      </c>
      <c r="D48" t="inlineStr">
        <is>
          <t>Peregrino</t>
        </is>
      </c>
      <c r="E48" t="inlineStr">
        <is>
          <t>Turbogerador principal</t>
        </is>
      </c>
      <c r="F48" t="inlineStr">
        <is>
          <t>Amostral</t>
        </is>
      </c>
      <c r="G48" s="8" t="n">
        <v>482841.05</v>
      </c>
      <c r="H48" s="8" t="n">
        <v>482841.05</v>
      </c>
      <c r="I48" s="8">
        <f>G48-H48</f>
        <v/>
      </c>
      <c r="J48" s="11">
        <f>IF(G48=0,0,MIN(1,I48/G48))</f>
        <v/>
      </c>
    </row>
    <row r="49">
      <c r="A49" t="inlineStr">
        <is>
          <t>IMB0004436</t>
        </is>
      </c>
      <c r="B49" t="inlineStr">
        <is>
          <t>Plataforma Peregrino</t>
        </is>
      </c>
      <c r="C49" t="inlineStr">
        <is>
          <t>Prio Tigris</t>
        </is>
      </c>
      <c r="D49" t="inlineStr">
        <is>
          <t>Peregrino</t>
        </is>
      </c>
      <c r="E49" t="inlineStr">
        <is>
          <t>Casco e estrutura naval</t>
        </is>
      </c>
      <c r="F49" t="inlineStr">
        <is>
          <t>Amostral</t>
        </is>
      </c>
      <c r="G49" s="8" t="n">
        <v>8562354.220000001</v>
      </c>
      <c r="H49" s="8" t="n">
        <v>8562354.220000001</v>
      </c>
      <c r="I49" s="8">
        <f>G49-H49</f>
        <v/>
      </c>
      <c r="J49" s="11">
        <f>IF(G49=0,0,MIN(1,I49/G49))</f>
        <v/>
      </c>
    </row>
    <row r="50">
      <c r="A50" t="inlineStr">
        <is>
          <t>IMB0004464</t>
        </is>
      </c>
      <c r="B50" t="inlineStr">
        <is>
          <t>Plataforma Peregrino</t>
        </is>
      </c>
      <c r="C50" t="inlineStr">
        <is>
          <t>Prio Tigris</t>
        </is>
      </c>
      <c r="D50" t="inlineStr">
        <is>
          <t>Peregrino</t>
        </is>
      </c>
      <c r="E50" t="inlineStr">
        <is>
          <t>Sistema de flare</t>
        </is>
      </c>
      <c r="F50" t="inlineStr">
        <is>
          <t>Amostral</t>
        </is>
      </c>
      <c r="G50" s="8" t="n">
        <v>15435654.92</v>
      </c>
      <c r="H50" s="8" t="n">
        <v>15435654.92</v>
      </c>
      <c r="I50" s="8">
        <f>G50-H50</f>
        <v/>
      </c>
      <c r="J50" s="11">
        <f>IF(G50=0,0,MIN(1,I50/G50))</f>
        <v/>
      </c>
    </row>
    <row r="51">
      <c r="A51" t="inlineStr">
        <is>
          <t>IMB0004499</t>
        </is>
      </c>
      <c r="B51" t="inlineStr">
        <is>
          <t>Plataforma Peregrino</t>
        </is>
      </c>
      <c r="C51" t="inlineStr">
        <is>
          <t>Prio Tigris</t>
        </is>
      </c>
      <c r="D51" t="inlineStr">
        <is>
          <t>Peregrino</t>
        </is>
      </c>
      <c r="E51" t="inlineStr">
        <is>
          <t>Casco e estrutura naval</t>
        </is>
      </c>
      <c r="F51" t="inlineStr">
        <is>
          <t>Amostral</t>
        </is>
      </c>
      <c r="G51" s="8" t="n">
        <v>3573462.85</v>
      </c>
      <c r="H51" s="8" t="n">
        <v>3573462.85</v>
      </c>
      <c r="I51" s="8">
        <f>G51-H51</f>
        <v/>
      </c>
      <c r="J51" s="11">
        <f>IF(G51=0,0,MIN(1,I51/G51))</f>
        <v/>
      </c>
    </row>
    <row r="52">
      <c r="A52" t="inlineStr">
        <is>
          <t>IMB0004549</t>
        </is>
      </c>
      <c r="B52" t="inlineStr">
        <is>
          <t>Plataforma Peregrino</t>
        </is>
      </c>
      <c r="C52" t="inlineStr">
        <is>
          <t>Prio Tigris</t>
        </is>
      </c>
      <c r="D52" t="inlineStr">
        <is>
          <t>Peregrino</t>
        </is>
      </c>
      <c r="E52" t="inlineStr">
        <is>
          <t>Compressor de gás</t>
        </is>
      </c>
      <c r="F52" t="inlineStr">
        <is>
          <t>Amostral</t>
        </is>
      </c>
      <c r="G52" s="8" t="n">
        <v>2188334.93</v>
      </c>
      <c r="H52" s="8" t="n">
        <v>2188334.93</v>
      </c>
      <c r="I52" s="8">
        <f>G52-H52</f>
        <v/>
      </c>
      <c r="J52" s="11">
        <f>IF(G52=0,0,MIN(1,I52/G52))</f>
        <v/>
      </c>
    </row>
    <row r="53">
      <c r="A53" t="inlineStr">
        <is>
          <t>IMB0004602</t>
        </is>
      </c>
      <c r="B53" t="inlineStr">
        <is>
          <t>Plataforma Peregrino</t>
        </is>
      </c>
      <c r="C53" t="inlineStr">
        <is>
          <t>Prio Tigris</t>
        </is>
      </c>
      <c r="D53" t="inlineStr">
        <is>
          <t>Peregrino</t>
        </is>
      </c>
      <c r="E53" t="inlineStr">
        <is>
          <t>Painel elétrico de média tensão</t>
        </is>
      </c>
      <c r="F53" t="inlineStr">
        <is>
          <t>Amostral</t>
        </is>
      </c>
      <c r="G53" s="8" t="n">
        <v>4542719.62</v>
      </c>
      <c r="H53" s="8" t="n">
        <v>4542719.62</v>
      </c>
      <c r="I53" s="8">
        <f>G53-H53</f>
        <v/>
      </c>
      <c r="J53" s="11">
        <f>IF(G53=0,0,MIN(1,I53/G53))</f>
        <v/>
      </c>
    </row>
    <row r="54">
      <c r="A54" t="inlineStr">
        <is>
          <t>IMB0004660</t>
        </is>
      </c>
      <c r="B54" t="inlineStr">
        <is>
          <t>Plataforma Peregrino</t>
        </is>
      </c>
      <c r="C54" t="inlineStr">
        <is>
          <t>Prio Tigris</t>
        </is>
      </c>
      <c r="D54" t="inlineStr">
        <is>
          <t>Peregrino</t>
        </is>
      </c>
      <c r="E54" t="inlineStr">
        <is>
          <t>Válvula de segurança (SDV)</t>
        </is>
      </c>
      <c r="F54" t="inlineStr">
        <is>
          <t>Amostral</t>
        </is>
      </c>
      <c r="G54" s="8" t="n">
        <v>2909546.38</v>
      </c>
      <c r="H54" s="8" t="n">
        <v>2909546.38</v>
      </c>
      <c r="I54" s="8">
        <f>G54-H54</f>
        <v/>
      </c>
      <c r="J54" s="11">
        <f>IF(G54=0,0,MIN(1,I54/G54))</f>
        <v/>
      </c>
    </row>
    <row r="55">
      <c r="A55" t="inlineStr">
        <is>
          <t>IMB0004719</t>
        </is>
      </c>
      <c r="B55" t="inlineStr">
        <is>
          <t>Plataforma Peregrino</t>
        </is>
      </c>
      <c r="C55" t="inlineStr">
        <is>
          <t>Prio Tigris</t>
        </is>
      </c>
      <c r="D55" t="inlineStr">
        <is>
          <t>Peregrino</t>
        </is>
      </c>
      <c r="E55" t="inlineStr">
        <is>
          <t>Sistema de ancoragem - linha</t>
        </is>
      </c>
      <c r="F55" t="inlineStr">
        <is>
          <t>Amostral</t>
        </is>
      </c>
      <c r="G55" s="8" t="n">
        <v>3436736.53</v>
      </c>
      <c r="H55" s="8" t="n">
        <v>3436736.53</v>
      </c>
      <c r="I55" s="8">
        <f>G55-H55</f>
        <v/>
      </c>
      <c r="J55" s="11">
        <f>IF(G55=0,0,MIN(1,I55/G55))</f>
        <v/>
      </c>
    </row>
    <row r="56">
      <c r="A56" t="inlineStr">
        <is>
          <t>IMB0004744</t>
        </is>
      </c>
      <c r="B56" t="inlineStr">
        <is>
          <t>Plataforma Peregrino</t>
        </is>
      </c>
      <c r="C56" t="inlineStr">
        <is>
          <t>Prio Tigris</t>
        </is>
      </c>
      <c r="D56" t="inlineStr">
        <is>
          <t>Peregrino</t>
        </is>
      </c>
      <c r="E56" t="inlineStr">
        <is>
          <t>Válvula de segurança (SDV)</t>
        </is>
      </c>
      <c r="F56" t="inlineStr">
        <is>
          <t>Amostral</t>
        </is>
      </c>
      <c r="G56" s="8" t="n">
        <v>1243423.76</v>
      </c>
      <c r="H56" s="8" t="n">
        <v>1243423.76</v>
      </c>
      <c r="I56" s="8">
        <f>G56-H56</f>
        <v/>
      </c>
      <c r="J56" s="11">
        <f>IF(G56=0,0,MIN(1,I56/G56))</f>
        <v/>
      </c>
    </row>
    <row r="57">
      <c r="A57" t="inlineStr">
        <is>
          <t>IMB0004784</t>
        </is>
      </c>
      <c r="B57" t="inlineStr">
        <is>
          <t>Plataforma Peregrino</t>
        </is>
      </c>
      <c r="C57" t="inlineStr">
        <is>
          <t>Prio Tigris</t>
        </is>
      </c>
      <c r="D57" t="inlineStr">
        <is>
          <t>Peregrino</t>
        </is>
      </c>
      <c r="E57" t="inlineStr">
        <is>
          <t>Bomba de transferência de carga</t>
        </is>
      </c>
      <c r="F57" t="inlineStr">
        <is>
          <t>Amostral</t>
        </is>
      </c>
      <c r="G57" s="8" t="n">
        <v>2798503.04</v>
      </c>
      <c r="H57" s="8" t="n">
        <v>2798503.04</v>
      </c>
      <c r="I57" s="8">
        <f>G57-H57</f>
        <v/>
      </c>
      <c r="J57" s="11">
        <f>IF(G57=0,0,MIN(1,I57/G57))</f>
        <v/>
      </c>
    </row>
    <row r="58">
      <c r="A58" t="inlineStr">
        <is>
          <t>IMB0004823</t>
        </is>
      </c>
      <c r="B58" t="inlineStr">
        <is>
          <t>Plataforma Peregrino</t>
        </is>
      </c>
      <c r="C58" t="inlineStr">
        <is>
          <t>Prio Tigris</t>
        </is>
      </c>
      <c r="D58" t="inlineStr">
        <is>
          <t>Peregrino</t>
        </is>
      </c>
      <c r="E58" t="inlineStr">
        <is>
          <t>Turbogerador principal</t>
        </is>
      </c>
      <c r="F58" t="inlineStr">
        <is>
          <t>Topo (&gt;= intervalo)</t>
        </is>
      </c>
      <c r="G58" s="8" t="n">
        <v>66412463.62</v>
      </c>
      <c r="H58" s="8" t="n">
        <v>66412463.62</v>
      </c>
      <c r="I58" s="8">
        <f>G58-H58</f>
        <v/>
      </c>
      <c r="J58" s="11">
        <f>IF(G58=0,0,MIN(1,I58/G58))</f>
        <v/>
      </c>
    </row>
    <row r="59">
      <c r="A59" t="inlineStr">
        <is>
          <t>IMB0004857</t>
        </is>
      </c>
      <c r="B59" t="inlineStr">
        <is>
          <t>Plataforma Peregrino</t>
        </is>
      </c>
      <c r="C59" t="inlineStr">
        <is>
          <t>Prio Tigris</t>
        </is>
      </c>
      <c r="D59" t="inlineStr">
        <is>
          <t>Peregrino</t>
        </is>
      </c>
      <c r="E59" t="inlineStr">
        <is>
          <t>Turret/swivel</t>
        </is>
      </c>
      <c r="F59" t="inlineStr">
        <is>
          <t>Amostral</t>
        </is>
      </c>
      <c r="G59" s="8" t="n">
        <v>725715.14</v>
      </c>
      <c r="H59" s="8" t="n">
        <v>725715.14</v>
      </c>
      <c r="I59" s="8">
        <f>G59-H59</f>
        <v/>
      </c>
      <c r="J59" s="11">
        <f>IF(G59=0,0,MIN(1,I59/G59))</f>
        <v/>
      </c>
    </row>
    <row r="60">
      <c r="A60" t="inlineStr">
        <is>
          <t>IMB0004893</t>
        </is>
      </c>
      <c r="B60" t="inlineStr">
        <is>
          <t>Plataforma Peregrino</t>
        </is>
      </c>
      <c r="C60" t="inlineStr">
        <is>
          <t>Prio Tigris</t>
        </is>
      </c>
      <c r="D60" t="inlineStr">
        <is>
          <t>Peregrino</t>
        </is>
      </c>
      <c r="E60" t="inlineStr">
        <is>
          <t>Módulo de acomodações</t>
        </is>
      </c>
      <c r="F60" t="inlineStr">
        <is>
          <t>Amostral</t>
        </is>
      </c>
      <c r="G60" s="8" t="n">
        <v>404951.75</v>
      </c>
      <c r="H60" s="8" t="n">
        <v>404951.75</v>
      </c>
      <c r="I60" s="8">
        <f>G60-H60</f>
        <v/>
      </c>
      <c r="J60" s="11">
        <f>IF(G60=0,0,MIN(1,I60/G60))</f>
        <v/>
      </c>
    </row>
    <row r="61">
      <c r="A61" t="inlineStr">
        <is>
          <t>IMB0004967</t>
        </is>
      </c>
      <c r="B61" t="inlineStr">
        <is>
          <t>Plataforma Peregrino</t>
        </is>
      </c>
      <c r="C61" t="inlineStr">
        <is>
          <t>Prio Tigris</t>
        </is>
      </c>
      <c r="D61" t="inlineStr">
        <is>
          <t>Peregrino</t>
        </is>
      </c>
      <c r="E61" t="inlineStr">
        <is>
          <t>Válvula de segurança (SDV)</t>
        </is>
      </c>
      <c r="F61" t="inlineStr">
        <is>
          <t>Amostral</t>
        </is>
      </c>
      <c r="G61" s="8" t="n">
        <v>245991.11</v>
      </c>
      <c r="H61" s="8" t="n">
        <v>245991.11</v>
      </c>
      <c r="I61" s="8">
        <f>G61-H61</f>
        <v/>
      </c>
      <c r="J61" s="11">
        <f>IF(G61=0,0,MIN(1,I61/G61))</f>
        <v/>
      </c>
    </row>
    <row r="62">
      <c r="A62" t="inlineStr">
        <is>
          <t>IMB0005040</t>
        </is>
      </c>
      <c r="B62" t="inlineStr">
        <is>
          <t>Plataforma Peregrino</t>
        </is>
      </c>
      <c r="C62" t="inlineStr">
        <is>
          <t>Prio Tigris</t>
        </is>
      </c>
      <c r="D62" t="inlineStr">
        <is>
          <t>Peregrino</t>
        </is>
      </c>
      <c r="E62" t="inlineStr">
        <is>
          <t>Turret/swivel</t>
        </is>
      </c>
      <c r="F62" t="inlineStr">
        <is>
          <t>Amostral</t>
        </is>
      </c>
      <c r="G62" s="8" t="n">
        <v>5236550.16</v>
      </c>
      <c r="H62" s="8" t="n">
        <v>5236550.16</v>
      </c>
      <c r="I62" s="8">
        <f>G62-H62</f>
        <v/>
      </c>
      <c r="J62" s="11">
        <f>IF(G62=0,0,MIN(1,I62/G62))</f>
        <v/>
      </c>
    </row>
    <row r="63">
      <c r="A63" t="inlineStr">
        <is>
          <t>IMB0005073</t>
        </is>
      </c>
      <c r="B63" t="inlineStr">
        <is>
          <t>Plataforma Peregrino</t>
        </is>
      </c>
      <c r="C63" t="inlineStr">
        <is>
          <t>Prio Tigris</t>
        </is>
      </c>
      <c r="D63" t="inlineStr">
        <is>
          <t>Peregrino</t>
        </is>
      </c>
      <c r="E63" t="inlineStr">
        <is>
          <t>Compressor de gás</t>
        </is>
      </c>
      <c r="F63" t="inlineStr">
        <is>
          <t>Amostral</t>
        </is>
      </c>
      <c r="G63" s="8" t="n">
        <v>309728.83</v>
      </c>
      <c r="H63" s="8" t="n">
        <v>309728.83</v>
      </c>
      <c r="I63" s="8">
        <f>G63-H63</f>
        <v/>
      </c>
      <c r="J63" s="11">
        <f>IF(G63=0,0,MIN(1,I63/G63))</f>
        <v/>
      </c>
    </row>
    <row r="64">
      <c r="A64" t="inlineStr">
        <is>
          <t>IMB0005121</t>
        </is>
      </c>
      <c r="B64" t="inlineStr">
        <is>
          <t>Plataforma Peregrino</t>
        </is>
      </c>
      <c r="C64" t="inlineStr">
        <is>
          <t>Prio Tigris</t>
        </is>
      </c>
      <c r="D64" t="inlineStr">
        <is>
          <t>Peregrino</t>
        </is>
      </c>
      <c r="E64" t="inlineStr">
        <is>
          <t>Bomba de transferência de carga</t>
        </is>
      </c>
      <c r="F64" t="inlineStr">
        <is>
          <t>Amostral</t>
        </is>
      </c>
      <c r="G64" s="8" t="n">
        <v>7671789.27</v>
      </c>
      <c r="H64" s="8" t="n">
        <v>7671789.27</v>
      </c>
      <c r="I64" s="8">
        <f>G64-H64</f>
        <v/>
      </c>
      <c r="J64" s="11">
        <f>IF(G64=0,0,MIN(1,I64/G64))</f>
        <v/>
      </c>
    </row>
    <row r="65">
      <c r="A65" t="inlineStr">
        <is>
          <t>IMB0005157</t>
        </is>
      </c>
      <c r="B65" t="inlineStr">
        <is>
          <t>Plataforma Peregrino</t>
        </is>
      </c>
      <c r="C65" t="inlineStr">
        <is>
          <t>Prio Tigris</t>
        </is>
      </c>
      <c r="D65" t="inlineStr">
        <is>
          <t>Peregrino</t>
        </is>
      </c>
      <c r="E65" t="inlineStr">
        <is>
          <t>Sistema de tratamento de óleo</t>
        </is>
      </c>
      <c r="F65" t="inlineStr">
        <is>
          <t>Amostral</t>
        </is>
      </c>
      <c r="G65" s="8" t="n">
        <v>165591.84</v>
      </c>
      <c r="H65" s="8" t="n">
        <v>165591.84</v>
      </c>
      <c r="I65" s="8">
        <f>G65-H65</f>
        <v/>
      </c>
      <c r="J65" s="11">
        <f>IF(G65=0,0,MIN(1,I65/G65))</f>
        <v/>
      </c>
    </row>
    <row r="66">
      <c r="A66" t="inlineStr">
        <is>
          <t>IMB0005198</t>
        </is>
      </c>
      <c r="B66" t="inlineStr">
        <is>
          <t>Plataforma Peregrino</t>
        </is>
      </c>
      <c r="C66" t="inlineStr">
        <is>
          <t>Prio Tigris</t>
        </is>
      </c>
      <c r="D66" t="inlineStr">
        <is>
          <t>Peregrino</t>
        </is>
      </c>
      <c r="E66" t="inlineStr">
        <is>
          <t>Sistema de medição fiscal</t>
        </is>
      </c>
      <c r="F66" t="inlineStr">
        <is>
          <t>Topo (&gt;= intervalo)</t>
        </is>
      </c>
      <c r="G66" s="8" t="n">
        <v>81173850.20999999</v>
      </c>
      <c r="H66" s="8" t="n">
        <v>81173850.20999999</v>
      </c>
      <c r="I66" s="8">
        <f>G66-H66</f>
        <v/>
      </c>
      <c r="J66" s="11">
        <f>IF(G66=0,0,MIN(1,I66/G66))</f>
        <v/>
      </c>
    </row>
    <row r="67">
      <c r="A67" t="inlineStr">
        <is>
          <t>IMB0005229</t>
        </is>
      </c>
      <c r="B67" t="inlineStr">
        <is>
          <t>Plataforma Peregrino</t>
        </is>
      </c>
      <c r="C67" t="inlineStr">
        <is>
          <t>Prio Tigris</t>
        </is>
      </c>
      <c r="D67" t="inlineStr">
        <is>
          <t>Peregrino</t>
        </is>
      </c>
      <c r="E67" t="inlineStr">
        <is>
          <t>Módulo de acomodações</t>
        </is>
      </c>
      <c r="F67" t="inlineStr">
        <is>
          <t>Amostral</t>
        </is>
      </c>
      <c r="G67" s="8" t="n">
        <v>1638020.49</v>
      </c>
      <c r="H67" s="8" t="n">
        <v>1638020.49</v>
      </c>
      <c r="I67" s="8">
        <f>G67-H67</f>
        <v/>
      </c>
      <c r="J67" s="11">
        <f>IF(G67=0,0,MIN(1,I67/G67))</f>
        <v/>
      </c>
    </row>
    <row r="68">
      <c r="A68" t="inlineStr">
        <is>
          <t>IMB0005264</t>
        </is>
      </c>
      <c r="B68" t="inlineStr">
        <is>
          <t>Plataforma Peregrino</t>
        </is>
      </c>
      <c r="C68" t="inlineStr">
        <is>
          <t>Prio Tigris</t>
        </is>
      </c>
      <c r="D68" t="inlineStr">
        <is>
          <t>Peregrino</t>
        </is>
      </c>
      <c r="E68" t="inlineStr">
        <is>
          <t>Compressor de gás</t>
        </is>
      </c>
      <c r="F68" t="inlineStr">
        <is>
          <t>Amostral</t>
        </is>
      </c>
      <c r="G68" s="8" t="n">
        <v>9837119.630000001</v>
      </c>
      <c r="H68" s="8" t="n">
        <v>9837119.630000001</v>
      </c>
      <c r="I68" s="8">
        <f>G68-H68</f>
        <v/>
      </c>
      <c r="J68" s="11">
        <f>IF(G68=0,0,MIN(1,I68/G68))</f>
        <v/>
      </c>
    </row>
    <row r="69">
      <c r="A69" t="inlineStr">
        <is>
          <t>IMB0005321</t>
        </is>
      </c>
      <c r="B69" t="inlineStr">
        <is>
          <t>Plataforma Peregrino</t>
        </is>
      </c>
      <c r="C69" t="inlineStr">
        <is>
          <t>Prio Tigris</t>
        </is>
      </c>
      <c r="D69" t="inlineStr">
        <is>
          <t>Peregrino</t>
        </is>
      </c>
      <c r="E69" t="inlineStr">
        <is>
          <t>Turret/swivel</t>
        </is>
      </c>
      <c r="F69" t="inlineStr">
        <is>
          <t>Amostral</t>
        </is>
      </c>
      <c r="G69" s="8" t="n">
        <v>2411033.13</v>
      </c>
      <c r="H69" s="8" t="n">
        <v>2411033.13</v>
      </c>
      <c r="I69" s="8">
        <f>G69-H69</f>
        <v/>
      </c>
      <c r="J69" s="11">
        <f>IF(G69=0,0,MIN(1,I69/G69))</f>
        <v/>
      </c>
    </row>
    <row r="70">
      <c r="A70" t="inlineStr">
        <is>
          <t>IMB0005353</t>
        </is>
      </c>
      <c r="B70" t="inlineStr">
        <is>
          <t>Plataforma Peregrino</t>
        </is>
      </c>
      <c r="C70" t="inlineStr">
        <is>
          <t>Prio Tigris</t>
        </is>
      </c>
      <c r="D70" t="inlineStr">
        <is>
          <t>Peregrino</t>
        </is>
      </c>
      <c r="E70" t="inlineStr">
        <is>
          <t>Sistema de medição fiscal</t>
        </is>
      </c>
      <c r="F70" t="inlineStr">
        <is>
          <t>Amostral</t>
        </is>
      </c>
      <c r="G70" s="8" t="n">
        <v>2961756.03</v>
      </c>
      <c r="H70" s="8" t="n">
        <v>2961756.03</v>
      </c>
      <c r="I70" s="8">
        <f>G70-H70</f>
        <v/>
      </c>
      <c r="J70" s="11">
        <f>IF(G70=0,0,MIN(1,I70/G70))</f>
        <v/>
      </c>
    </row>
    <row r="71">
      <c r="A71" t="inlineStr">
        <is>
          <t>IMB0005382</t>
        </is>
      </c>
      <c r="B71" t="inlineStr">
        <is>
          <t>Plataforma Peregrino</t>
        </is>
      </c>
      <c r="C71" t="inlineStr">
        <is>
          <t>Prio Tigris</t>
        </is>
      </c>
      <c r="D71" t="inlineStr">
        <is>
          <t>Peregrino</t>
        </is>
      </c>
      <c r="E71" t="inlineStr">
        <is>
          <t>Trocador de calor</t>
        </is>
      </c>
      <c r="F71" t="inlineStr">
        <is>
          <t>Amostral</t>
        </is>
      </c>
      <c r="G71" s="8" t="n">
        <v>2586997.7</v>
      </c>
      <c r="H71" s="8" t="n">
        <v>2586997.7</v>
      </c>
      <c r="I71" s="8">
        <f>G71-H71</f>
        <v/>
      </c>
      <c r="J71" s="11">
        <f>IF(G71=0,0,MIN(1,I71/G71))</f>
        <v/>
      </c>
    </row>
    <row r="72">
      <c r="A72" t="inlineStr">
        <is>
          <t>IMB0005420</t>
        </is>
      </c>
      <c r="B72" t="inlineStr">
        <is>
          <t>Plataforma Peregrino</t>
        </is>
      </c>
      <c r="C72" t="inlineStr">
        <is>
          <t>Prio Tigris</t>
        </is>
      </c>
      <c r="D72" t="inlineStr">
        <is>
          <t>Peregrino</t>
        </is>
      </c>
      <c r="E72" t="inlineStr">
        <is>
          <t>Sistema de combate a incêndio (dilúvio)</t>
        </is>
      </c>
      <c r="F72" t="inlineStr">
        <is>
          <t>Amostral</t>
        </is>
      </c>
      <c r="G72" s="8" t="n">
        <v>9465100.460000001</v>
      </c>
      <c r="H72" s="8" t="n">
        <v>9465100.460000001</v>
      </c>
      <c r="I72" s="8">
        <f>G72-H72</f>
        <v/>
      </c>
      <c r="J72" s="11">
        <f>IF(G72=0,0,MIN(1,I72/G72))</f>
        <v/>
      </c>
    </row>
    <row r="73">
      <c r="A73" t="inlineStr">
        <is>
          <t>IMB0005459</t>
        </is>
      </c>
      <c r="B73" t="inlineStr">
        <is>
          <t>Plataforma Peregrino</t>
        </is>
      </c>
      <c r="C73" t="inlineStr">
        <is>
          <t>Prio Tigris</t>
        </is>
      </c>
      <c r="D73" t="inlineStr">
        <is>
          <t>Peregrino</t>
        </is>
      </c>
      <c r="E73" t="inlineStr">
        <is>
          <t>Sistema de combate a incêndio (dilúvio)</t>
        </is>
      </c>
      <c r="F73" t="inlineStr">
        <is>
          <t>Amostral</t>
        </is>
      </c>
      <c r="G73" s="8" t="n">
        <v>4093771.26</v>
      </c>
      <c r="H73" s="8" t="n">
        <v>4093771.26</v>
      </c>
      <c r="I73" s="8">
        <f>G73-H73</f>
        <v/>
      </c>
      <c r="J73" s="11">
        <f>IF(G73=0,0,MIN(1,I73/G73))</f>
        <v/>
      </c>
    </row>
    <row r="74">
      <c r="A74" t="inlineStr">
        <is>
          <t>IMB0005500</t>
        </is>
      </c>
      <c r="B74" t="inlineStr">
        <is>
          <t>Plataforma Peregrino</t>
        </is>
      </c>
      <c r="C74" t="inlineStr">
        <is>
          <t>Prio Tigris</t>
        </is>
      </c>
      <c r="D74" t="inlineStr">
        <is>
          <t>Peregrino</t>
        </is>
      </c>
      <c r="E74" t="inlineStr">
        <is>
          <t>Sistema de injeção de água</t>
        </is>
      </c>
      <c r="F74" t="inlineStr">
        <is>
          <t>Amostral</t>
        </is>
      </c>
      <c r="G74" s="8" t="n">
        <v>1367838</v>
      </c>
      <c r="H74" s="8" t="n">
        <v>1367838</v>
      </c>
      <c r="I74" s="8">
        <f>G74-H74</f>
        <v/>
      </c>
      <c r="J74" s="11">
        <f>IF(G74=0,0,MIN(1,I74/G74))</f>
        <v/>
      </c>
    </row>
    <row r="75">
      <c r="A75" t="inlineStr">
        <is>
          <t>IMB0005584</t>
        </is>
      </c>
      <c r="B75" t="inlineStr">
        <is>
          <t>Plataforma Peregrino</t>
        </is>
      </c>
      <c r="C75" t="inlineStr">
        <is>
          <t>Prio Tigris</t>
        </is>
      </c>
      <c r="D75" t="inlineStr">
        <is>
          <t>Peregrino</t>
        </is>
      </c>
      <c r="E75" t="inlineStr">
        <is>
          <t>Bomba de transferência de carga</t>
        </is>
      </c>
      <c r="F75" t="inlineStr">
        <is>
          <t>Amostral</t>
        </is>
      </c>
      <c r="G75" s="8" t="n">
        <v>898527.11</v>
      </c>
      <c r="H75" s="8" t="n">
        <v>898527.11</v>
      </c>
      <c r="I75" s="8">
        <f>G75-H75</f>
        <v/>
      </c>
      <c r="J75" s="11">
        <f>IF(G75=0,0,MIN(1,I75/G75))</f>
        <v/>
      </c>
    </row>
    <row r="76">
      <c r="A76" t="inlineStr">
        <is>
          <t>IMB0005618</t>
        </is>
      </c>
      <c r="B76" t="inlineStr">
        <is>
          <t>Plataforma Peregrino</t>
        </is>
      </c>
      <c r="C76" t="inlineStr">
        <is>
          <t>Prio Tigris</t>
        </is>
      </c>
      <c r="D76" t="inlineStr">
        <is>
          <t>Peregrino</t>
        </is>
      </c>
      <c r="E76" t="inlineStr">
        <is>
          <t>Casco e estrutura naval</t>
        </is>
      </c>
      <c r="F76" t="inlineStr">
        <is>
          <t>Amostral</t>
        </is>
      </c>
      <c r="G76" s="8" t="n">
        <v>2319738.01</v>
      </c>
      <c r="H76" s="8" t="n">
        <v>2319738.01</v>
      </c>
      <c r="I76" s="8">
        <f>G76-H76</f>
        <v/>
      </c>
      <c r="J76" s="11">
        <f>IF(G76=0,0,MIN(1,I76/G76))</f>
        <v/>
      </c>
    </row>
    <row r="77">
      <c r="A77" t="inlineStr">
        <is>
          <t>IMB0005652</t>
        </is>
      </c>
      <c r="B77" t="inlineStr">
        <is>
          <t>Plataforma Peregrino</t>
        </is>
      </c>
      <c r="C77" t="inlineStr">
        <is>
          <t>Prio Tigris</t>
        </is>
      </c>
      <c r="D77" t="inlineStr">
        <is>
          <t>Peregrino</t>
        </is>
      </c>
      <c r="E77" t="inlineStr">
        <is>
          <t>Turbogerador principal</t>
        </is>
      </c>
      <c r="F77" t="inlineStr">
        <is>
          <t>Amostral</t>
        </is>
      </c>
      <c r="G77" s="8" t="n">
        <v>5096107.43</v>
      </c>
      <c r="H77" s="8" t="n">
        <v>5096107.43</v>
      </c>
      <c r="I77" s="8">
        <f>G77-H77</f>
        <v/>
      </c>
      <c r="J77" s="11">
        <f>IF(G77=0,0,MIN(1,I77/G77))</f>
        <v/>
      </c>
    </row>
    <row r="78">
      <c r="A78" t="inlineStr">
        <is>
          <t>IMB0005701</t>
        </is>
      </c>
      <c r="B78" t="inlineStr">
        <is>
          <t>Plataforma Peregrino</t>
        </is>
      </c>
      <c r="C78" t="inlineStr">
        <is>
          <t>Prio Tigris</t>
        </is>
      </c>
      <c r="D78" t="inlineStr">
        <is>
          <t>Peregrino</t>
        </is>
      </c>
      <c r="E78" t="inlineStr">
        <is>
          <t>Sistema de injeção de água</t>
        </is>
      </c>
      <c r="F78" t="inlineStr">
        <is>
          <t>Amostral</t>
        </is>
      </c>
      <c r="G78" s="8" t="n">
        <v>312995.17</v>
      </c>
      <c r="H78" s="8" t="n">
        <v>312995.17</v>
      </c>
      <c r="I78" s="8">
        <f>G78-H78</f>
        <v/>
      </c>
      <c r="J78" s="11">
        <f>IF(G78=0,0,MIN(1,I78/G78))</f>
        <v/>
      </c>
    </row>
    <row r="79">
      <c r="A79" t="inlineStr">
        <is>
          <t>IMB0005744</t>
        </is>
      </c>
      <c r="B79" t="inlineStr">
        <is>
          <t>Plataforma Peregrino</t>
        </is>
      </c>
      <c r="C79" t="inlineStr">
        <is>
          <t>Prio Tigris</t>
        </is>
      </c>
      <c r="D79" t="inlineStr">
        <is>
          <t>Peregrino</t>
        </is>
      </c>
      <c r="E79" t="inlineStr">
        <is>
          <t>Instrumentação e automação</t>
        </is>
      </c>
      <c r="F79" t="inlineStr">
        <is>
          <t>Amostral</t>
        </is>
      </c>
      <c r="G79" s="8" t="n">
        <v>2150963.29</v>
      </c>
      <c r="H79" s="8" t="n">
        <v>2150963.29</v>
      </c>
      <c r="I79" s="8">
        <f>G79-H79</f>
        <v/>
      </c>
      <c r="J79" s="11">
        <f>IF(G79=0,0,MIN(1,I79/G79))</f>
        <v/>
      </c>
    </row>
    <row r="80">
      <c r="A80" t="inlineStr">
        <is>
          <t>IMB0005794</t>
        </is>
      </c>
      <c r="B80" t="inlineStr">
        <is>
          <t>Plataforma Peregrino</t>
        </is>
      </c>
      <c r="C80" t="inlineStr">
        <is>
          <t>Prio Tigris</t>
        </is>
      </c>
      <c r="D80" t="inlineStr">
        <is>
          <t>Peregrino</t>
        </is>
      </c>
      <c r="E80" t="inlineStr">
        <is>
          <t>Turbogerador principal</t>
        </is>
      </c>
      <c r="F80" t="inlineStr">
        <is>
          <t>Amostral</t>
        </is>
      </c>
      <c r="G80" s="8" t="n">
        <v>15669210.68</v>
      </c>
      <c r="H80" s="8" t="n">
        <v>15669210.68</v>
      </c>
      <c r="I80" s="8">
        <f>G80-H80</f>
        <v/>
      </c>
      <c r="J80" s="11">
        <f>IF(G80=0,0,MIN(1,I80/G80))</f>
        <v/>
      </c>
    </row>
    <row r="81">
      <c r="A81" t="inlineStr">
        <is>
          <t>IMB0005846</t>
        </is>
      </c>
      <c r="B81" t="inlineStr">
        <is>
          <t>Plataforma Peregrino</t>
        </is>
      </c>
      <c r="C81" t="inlineStr">
        <is>
          <t>Prio Tigris</t>
        </is>
      </c>
      <c r="D81" t="inlineStr">
        <is>
          <t>Peregrino</t>
        </is>
      </c>
      <c r="E81" t="inlineStr">
        <is>
          <t>Sistema de medição fiscal</t>
        </is>
      </c>
      <c r="F81" t="inlineStr">
        <is>
          <t>Amostral</t>
        </is>
      </c>
      <c r="G81" s="8" t="n">
        <v>4815294.7</v>
      </c>
      <c r="H81" s="8" t="n">
        <v>4815294.7</v>
      </c>
      <c r="I81" s="8">
        <f>G81-H81</f>
        <v/>
      </c>
      <c r="J81" s="11">
        <f>IF(G81=0,0,MIN(1,I81/G81))</f>
        <v/>
      </c>
    </row>
    <row r="82">
      <c r="A82" t="inlineStr">
        <is>
          <t>IMB0005894</t>
        </is>
      </c>
      <c r="B82" t="inlineStr">
        <is>
          <t>Plataforma Peregrino</t>
        </is>
      </c>
      <c r="C82" t="inlineStr">
        <is>
          <t>Prio Tigris</t>
        </is>
      </c>
      <c r="D82" t="inlineStr">
        <is>
          <t>Peregrino</t>
        </is>
      </c>
      <c r="E82" t="inlineStr">
        <is>
          <t>Instrumentação e automação</t>
        </is>
      </c>
      <c r="F82" t="inlineStr">
        <is>
          <t>Amostral</t>
        </is>
      </c>
      <c r="G82" s="8" t="n">
        <v>4457776.66</v>
      </c>
      <c r="H82" s="8" t="n">
        <v>4457776.66</v>
      </c>
      <c r="I82" s="8">
        <f>G82-H82</f>
        <v/>
      </c>
      <c r="J82" s="11">
        <f>IF(G82=0,0,MIN(1,I82/G82))</f>
        <v/>
      </c>
    </row>
    <row r="83">
      <c r="A83" t="inlineStr">
        <is>
          <t>IMB0005929</t>
        </is>
      </c>
      <c r="B83" t="inlineStr">
        <is>
          <t>Plataforma Peregrino</t>
        </is>
      </c>
      <c r="C83" t="inlineStr">
        <is>
          <t>Prio Tigris</t>
        </is>
      </c>
      <c r="D83" t="inlineStr">
        <is>
          <t>Peregrino</t>
        </is>
      </c>
      <c r="E83" t="inlineStr">
        <is>
          <t>Bomba de transferência de carga</t>
        </is>
      </c>
      <c r="F83" t="inlineStr">
        <is>
          <t>Amostral</t>
        </is>
      </c>
      <c r="G83" s="8" t="n">
        <v>15608097.24</v>
      </c>
      <c r="H83" s="8" t="n">
        <v>15608097.24</v>
      </c>
      <c r="I83" s="8">
        <f>G83-H83</f>
        <v/>
      </c>
      <c r="J83" s="11">
        <f>IF(G83=0,0,MIN(1,I83/G83))</f>
        <v/>
      </c>
    </row>
    <row r="84">
      <c r="A84" t="inlineStr">
        <is>
          <t>IMB0005945</t>
        </is>
      </c>
      <c r="B84" t="inlineStr">
        <is>
          <t>Plataforma Peregrino</t>
        </is>
      </c>
      <c r="C84" t="inlineStr">
        <is>
          <t>Prio Tigris</t>
        </is>
      </c>
      <c r="D84" t="inlineStr">
        <is>
          <t>Peregrino</t>
        </is>
      </c>
      <c r="E84" t="inlineStr">
        <is>
          <t>Planta de processo - separador trifásico</t>
        </is>
      </c>
      <c r="F84" t="inlineStr">
        <is>
          <t>Amostral</t>
        </is>
      </c>
      <c r="G84" s="8" t="n">
        <v>2889614.14</v>
      </c>
      <c r="H84" s="8" t="n">
        <v>2889614.14</v>
      </c>
      <c r="I84" s="8">
        <f>G84-H84</f>
        <v/>
      </c>
      <c r="J84" s="11">
        <f>IF(G84=0,0,MIN(1,I84/G84))</f>
        <v/>
      </c>
    </row>
    <row r="85">
      <c r="A85" t="inlineStr">
        <is>
          <t>IMB0006006</t>
        </is>
      </c>
      <c r="B85" t="inlineStr">
        <is>
          <t>Plataforma Peregrino</t>
        </is>
      </c>
      <c r="C85" t="inlineStr">
        <is>
          <t>Prio Tigris</t>
        </is>
      </c>
      <c r="D85" t="inlineStr">
        <is>
          <t>Peregrino</t>
        </is>
      </c>
      <c r="E85" t="inlineStr">
        <is>
          <t>Painel elétrico de média tensão</t>
        </is>
      </c>
      <c r="F85" t="inlineStr">
        <is>
          <t>Amostral</t>
        </is>
      </c>
      <c r="G85" s="8" t="n">
        <v>1648529.95</v>
      </c>
      <c r="H85" s="8" t="n">
        <v>1648529.95</v>
      </c>
      <c r="I85" s="8">
        <f>G85-H85</f>
        <v/>
      </c>
      <c r="J85" s="11">
        <f>IF(G85=0,0,MIN(1,I85/G85))</f>
        <v/>
      </c>
    </row>
    <row r="86">
      <c r="A86" t="inlineStr">
        <is>
          <t>IMB0006054</t>
        </is>
      </c>
      <c r="B86" t="inlineStr">
        <is>
          <t>Plataforma Peregrino</t>
        </is>
      </c>
      <c r="C86" t="inlineStr">
        <is>
          <t>Prio Tigris</t>
        </is>
      </c>
      <c r="D86" t="inlineStr">
        <is>
          <t>Peregrino</t>
        </is>
      </c>
      <c r="E86" t="inlineStr">
        <is>
          <t>Instrumentação e automação</t>
        </is>
      </c>
      <c r="F86" t="inlineStr">
        <is>
          <t>Amostral</t>
        </is>
      </c>
      <c r="G86" s="8" t="n">
        <v>412812.29</v>
      </c>
      <c r="H86" s="8" t="n">
        <v>412812.29</v>
      </c>
      <c r="I86" s="8">
        <f>G86-H86</f>
        <v/>
      </c>
      <c r="J86" s="11">
        <f>IF(G86=0,0,MIN(1,I86/G86))</f>
        <v/>
      </c>
    </row>
    <row r="87">
      <c r="A87" t="inlineStr">
        <is>
          <t>IMB0006132</t>
        </is>
      </c>
      <c r="B87" t="inlineStr">
        <is>
          <t>Plataforma Peregrino</t>
        </is>
      </c>
      <c r="C87" t="inlineStr">
        <is>
          <t>Prio Tigris</t>
        </is>
      </c>
      <c r="D87" t="inlineStr">
        <is>
          <t>Peregrino</t>
        </is>
      </c>
      <c r="E87" t="inlineStr">
        <is>
          <t>Sistema de tratamento de óleo</t>
        </is>
      </c>
      <c r="F87" t="inlineStr">
        <is>
          <t>Amostral</t>
        </is>
      </c>
      <c r="G87" s="8" t="n">
        <v>182566.78</v>
      </c>
      <c r="H87" s="8" t="n">
        <v>182566.78</v>
      </c>
      <c r="I87" s="8">
        <f>G87-H87</f>
        <v/>
      </c>
      <c r="J87" s="11">
        <f>IF(G87=0,0,MIN(1,I87/G87))</f>
        <v/>
      </c>
    </row>
    <row r="88">
      <c r="A88" t="inlineStr">
        <is>
          <t>IMB0006196</t>
        </is>
      </c>
      <c r="B88" t="inlineStr">
        <is>
          <t>Plataforma Peregrino</t>
        </is>
      </c>
      <c r="C88" t="inlineStr">
        <is>
          <t>Prio Tigris</t>
        </is>
      </c>
      <c r="D88" t="inlineStr">
        <is>
          <t>Peregrino</t>
        </is>
      </c>
      <c r="E88" t="inlineStr">
        <is>
          <t>Sistema de injeção de água</t>
        </is>
      </c>
      <c r="F88" t="inlineStr">
        <is>
          <t>Amostral</t>
        </is>
      </c>
      <c r="G88" s="8" t="n">
        <v>637874.01</v>
      </c>
      <c r="H88" s="8" t="n">
        <v>637874.01</v>
      </c>
      <c r="I88" s="8">
        <f>G88-H88</f>
        <v/>
      </c>
      <c r="J88" s="11">
        <f>IF(G88=0,0,MIN(1,I88/G88))</f>
        <v/>
      </c>
    </row>
    <row r="89">
      <c r="A89" t="inlineStr">
        <is>
          <t>IMB0006244</t>
        </is>
      </c>
      <c r="B89" t="inlineStr">
        <is>
          <t>Plataforma Peregrino</t>
        </is>
      </c>
      <c r="C89" t="inlineStr">
        <is>
          <t>Prio Tigris</t>
        </is>
      </c>
      <c r="D89" t="inlineStr">
        <is>
          <t>Peregrino</t>
        </is>
      </c>
      <c r="E89" t="inlineStr">
        <is>
          <t>Painel elétrico de média tensão</t>
        </is>
      </c>
      <c r="F89" t="inlineStr">
        <is>
          <t>Amostral</t>
        </is>
      </c>
      <c r="G89" s="8" t="n">
        <v>18592161.77</v>
      </c>
      <c r="H89" s="8" t="n">
        <v>18592161.77</v>
      </c>
      <c r="I89" s="8">
        <f>G89-H89</f>
        <v/>
      </c>
      <c r="J89" s="11">
        <f>IF(G89=0,0,MIN(1,I89/G89))</f>
        <v/>
      </c>
    </row>
    <row r="90">
      <c r="A90" t="inlineStr">
        <is>
          <t>IMB0006263</t>
        </is>
      </c>
      <c r="B90" t="inlineStr">
        <is>
          <t>Plataforma Peregrino</t>
        </is>
      </c>
      <c r="C90" t="inlineStr">
        <is>
          <t>Prio Tigris</t>
        </is>
      </c>
      <c r="D90" t="inlineStr">
        <is>
          <t>Peregrino</t>
        </is>
      </c>
      <c r="E90" t="inlineStr">
        <is>
          <t>Sistema de ancoragem - linha</t>
        </is>
      </c>
      <c r="F90" t="inlineStr">
        <is>
          <t>Amostral</t>
        </is>
      </c>
      <c r="G90" s="8" t="n">
        <v>1582370.73</v>
      </c>
      <c r="H90" s="8" t="n">
        <v>1582370.73</v>
      </c>
      <c r="I90" s="8">
        <f>G90-H90</f>
        <v/>
      </c>
      <c r="J90" s="11">
        <f>IF(G90=0,0,MIN(1,I90/G90))</f>
        <v/>
      </c>
    </row>
    <row r="91">
      <c r="A91" t="inlineStr">
        <is>
          <t>IMB0006327</t>
        </is>
      </c>
      <c r="B91" t="inlineStr">
        <is>
          <t>Plataforma Peregrino</t>
        </is>
      </c>
      <c r="C91" t="inlineStr">
        <is>
          <t>Prio Tigris</t>
        </is>
      </c>
      <c r="D91" t="inlineStr">
        <is>
          <t>Peregrino</t>
        </is>
      </c>
      <c r="E91" t="inlineStr">
        <is>
          <t>Sistema de combate a incêndio (dilúvio)</t>
        </is>
      </c>
      <c r="F91" t="inlineStr">
        <is>
          <t>Amostral</t>
        </is>
      </c>
      <c r="G91" s="8" t="n">
        <v>2055560.54</v>
      </c>
      <c r="H91" s="8" t="n">
        <v>2055560.54</v>
      </c>
      <c r="I91" s="8">
        <f>G91-H91</f>
        <v/>
      </c>
      <c r="J91" s="11">
        <f>IF(G91=0,0,MIN(1,I91/G91))</f>
        <v/>
      </c>
    </row>
    <row r="92">
      <c r="A92" t="inlineStr">
        <is>
          <t>IMB0006356</t>
        </is>
      </c>
      <c r="B92" t="inlineStr">
        <is>
          <t>Plataforma Peregrino</t>
        </is>
      </c>
      <c r="C92" t="inlineStr">
        <is>
          <t>Prio Tigris</t>
        </is>
      </c>
      <c r="D92" t="inlineStr">
        <is>
          <t>Peregrino</t>
        </is>
      </c>
      <c r="E92" t="inlineStr">
        <is>
          <t>Sistema de injeção de água</t>
        </is>
      </c>
      <c r="F92" t="inlineStr">
        <is>
          <t>Amostral</t>
        </is>
      </c>
      <c r="G92" s="8" t="n">
        <v>6365022.8</v>
      </c>
      <c r="H92" s="8" t="n">
        <v>6365022.8</v>
      </c>
      <c r="I92" s="8">
        <f>G92-H92</f>
        <v/>
      </c>
      <c r="J92" s="11">
        <f>IF(G92=0,0,MIN(1,I92/G92))</f>
        <v/>
      </c>
    </row>
    <row r="93">
      <c r="A93" t="inlineStr">
        <is>
          <t>IMB0006407</t>
        </is>
      </c>
      <c r="B93" t="inlineStr">
        <is>
          <t>Plataforma Peregrino</t>
        </is>
      </c>
      <c r="C93" t="inlineStr">
        <is>
          <t>Prio Tigris</t>
        </is>
      </c>
      <c r="D93" t="inlineStr">
        <is>
          <t>Peregrino</t>
        </is>
      </c>
      <c r="E93" t="inlineStr">
        <is>
          <t>Turbogerador principal</t>
        </is>
      </c>
      <c r="F93" t="inlineStr">
        <is>
          <t>Amostral</t>
        </is>
      </c>
      <c r="G93" s="8" t="n">
        <v>4773017.26</v>
      </c>
      <c r="H93" s="8" t="n">
        <v>4773017.26</v>
      </c>
      <c r="I93" s="8">
        <f>G93-H93</f>
        <v/>
      </c>
      <c r="J93" s="11">
        <f>IF(G93=0,0,MIN(1,I93/G93))</f>
        <v/>
      </c>
    </row>
    <row r="94">
      <c r="A94" t="inlineStr">
        <is>
          <t>IMB0006444</t>
        </is>
      </c>
      <c r="B94" t="inlineStr">
        <is>
          <t>Plataforma Peregrino</t>
        </is>
      </c>
      <c r="C94" t="inlineStr">
        <is>
          <t>Prio Tigris</t>
        </is>
      </c>
      <c r="D94" t="inlineStr">
        <is>
          <t>Peregrino</t>
        </is>
      </c>
      <c r="E94" t="inlineStr">
        <is>
          <t>Módulo de acomodações</t>
        </is>
      </c>
      <c r="F94" t="inlineStr">
        <is>
          <t>Amostral</t>
        </is>
      </c>
      <c r="G94" s="8" t="n">
        <v>2324017.13</v>
      </c>
      <c r="H94" s="8" t="n">
        <v>2324017.13</v>
      </c>
      <c r="I94" s="8">
        <f>G94-H94</f>
        <v/>
      </c>
      <c r="J94" s="11">
        <f>IF(G94=0,0,MIN(1,I94/G94))</f>
        <v/>
      </c>
    </row>
    <row r="95">
      <c r="A95" t="inlineStr">
        <is>
          <t>IMB0006500</t>
        </is>
      </c>
      <c r="B95" t="inlineStr">
        <is>
          <t>Plataforma Peregrino</t>
        </is>
      </c>
      <c r="C95" t="inlineStr">
        <is>
          <t>Prio Tigris</t>
        </is>
      </c>
      <c r="D95" t="inlineStr">
        <is>
          <t>Peregrino</t>
        </is>
      </c>
      <c r="E95" t="inlineStr">
        <is>
          <t>Planta de processo - separador trifásico</t>
        </is>
      </c>
      <c r="F95" t="inlineStr">
        <is>
          <t>Amostral</t>
        </is>
      </c>
      <c r="G95" s="8" t="n">
        <v>484842.02</v>
      </c>
      <c r="H95" s="8" t="n">
        <v>484842.02</v>
      </c>
      <c r="I95" s="8">
        <f>G95-H95</f>
        <v/>
      </c>
      <c r="J95" s="11">
        <f>IF(G95=0,0,MIN(1,I95/G95))</f>
        <v/>
      </c>
    </row>
    <row r="96">
      <c r="A96" t="inlineStr">
        <is>
          <t>IMB0006543</t>
        </is>
      </c>
      <c r="B96" t="inlineStr">
        <is>
          <t>Plataforma Peregrino</t>
        </is>
      </c>
      <c r="C96" t="inlineStr">
        <is>
          <t>Prio Tigris</t>
        </is>
      </c>
      <c r="D96" t="inlineStr">
        <is>
          <t>Peregrino</t>
        </is>
      </c>
      <c r="E96" t="inlineStr">
        <is>
          <t>Trocador de calor</t>
        </is>
      </c>
      <c r="F96" t="inlineStr">
        <is>
          <t>Amostral</t>
        </is>
      </c>
      <c r="G96" s="8" t="n">
        <v>306062.7</v>
      </c>
      <c r="H96" s="8" t="n">
        <v>306062.7</v>
      </c>
      <c r="I96" s="8">
        <f>G96-H96</f>
        <v/>
      </c>
      <c r="J96" s="11">
        <f>IF(G96=0,0,MIN(1,I96/G96))</f>
        <v/>
      </c>
    </row>
    <row r="97">
      <c r="A97" t="inlineStr">
        <is>
          <t>IMB0006577</t>
        </is>
      </c>
      <c r="B97" t="inlineStr">
        <is>
          <t>Plataforma Peregrino</t>
        </is>
      </c>
      <c r="C97" t="inlineStr">
        <is>
          <t>Prio Tigris</t>
        </is>
      </c>
      <c r="D97" t="inlineStr">
        <is>
          <t>Peregrino</t>
        </is>
      </c>
      <c r="E97" t="inlineStr">
        <is>
          <t>Sistema de injeção de água</t>
        </is>
      </c>
      <c r="F97" t="inlineStr">
        <is>
          <t>Amostral</t>
        </is>
      </c>
      <c r="G97" s="8" t="n">
        <v>4594566.4</v>
      </c>
      <c r="H97" s="8" t="n">
        <v>4594566.4</v>
      </c>
      <c r="I97" s="8">
        <f>G97-H97</f>
        <v/>
      </c>
      <c r="J97" s="11">
        <f>IF(G97=0,0,MIN(1,I97/G97))</f>
        <v/>
      </c>
    </row>
    <row r="98">
      <c r="A98" t="inlineStr">
        <is>
          <t>IMB0006650</t>
        </is>
      </c>
      <c r="B98" t="inlineStr">
        <is>
          <t>Plataforma Peregrino</t>
        </is>
      </c>
      <c r="C98" t="inlineStr">
        <is>
          <t>Prio Tigris</t>
        </is>
      </c>
      <c r="D98" t="inlineStr">
        <is>
          <t>Peregrino</t>
        </is>
      </c>
      <c r="E98" t="inlineStr">
        <is>
          <t>Planta de processo - separador trifásico</t>
        </is>
      </c>
      <c r="F98" t="inlineStr">
        <is>
          <t>Amostral</t>
        </is>
      </c>
      <c r="G98" s="8" t="n">
        <v>5884325.66</v>
      </c>
      <c r="H98" s="8" t="n">
        <v>5884325.66</v>
      </c>
      <c r="I98" s="8">
        <f>G98-H98</f>
        <v/>
      </c>
      <c r="J98" s="11">
        <f>IF(G98=0,0,MIN(1,I98/G98))</f>
        <v/>
      </c>
    </row>
    <row r="99">
      <c r="A99" t="inlineStr">
        <is>
          <t>IMB0006690</t>
        </is>
      </c>
      <c r="B99" t="inlineStr">
        <is>
          <t>Plataforma Peregrino</t>
        </is>
      </c>
      <c r="C99" t="inlineStr">
        <is>
          <t>Prio Tigris</t>
        </is>
      </c>
      <c r="D99" t="inlineStr">
        <is>
          <t>Peregrino</t>
        </is>
      </c>
      <c r="E99" t="inlineStr">
        <is>
          <t>Válvula de segurança (SDV)</t>
        </is>
      </c>
      <c r="F99" t="inlineStr">
        <is>
          <t>Amostral</t>
        </is>
      </c>
      <c r="G99" s="8" t="n">
        <v>4971566.39</v>
      </c>
      <c r="H99" s="8" t="n">
        <v>4971566.39</v>
      </c>
      <c r="I99" s="8">
        <f>G99-H99</f>
        <v/>
      </c>
      <c r="J99" s="11">
        <f>IF(G99=0,0,MIN(1,I99/G99))</f>
        <v/>
      </c>
    </row>
    <row r="100">
      <c r="A100" t="inlineStr">
        <is>
          <t>IMB0006748</t>
        </is>
      </c>
      <c r="B100" t="inlineStr">
        <is>
          <t>Plataforma Peregrino</t>
        </is>
      </c>
      <c r="C100" t="inlineStr">
        <is>
          <t>Prio Tigris</t>
        </is>
      </c>
      <c r="D100" t="inlineStr">
        <is>
          <t>Peregrino</t>
        </is>
      </c>
      <c r="E100" t="inlineStr">
        <is>
          <t>Sistema de tratamento de óleo</t>
        </is>
      </c>
      <c r="F100" t="inlineStr">
        <is>
          <t>Amostral</t>
        </is>
      </c>
      <c r="G100" s="8" t="n">
        <v>2837397.04</v>
      </c>
      <c r="H100" s="8" t="n">
        <v>2837397.04</v>
      </c>
      <c r="I100" s="8">
        <f>G100-H100</f>
        <v/>
      </c>
      <c r="J100" s="11">
        <f>IF(G100=0,0,MIN(1,I100/G100))</f>
        <v/>
      </c>
    </row>
    <row r="101">
      <c r="A101" t="inlineStr">
        <is>
          <t>IMB0006816</t>
        </is>
      </c>
      <c r="B101" t="inlineStr">
        <is>
          <t>Plataforma Peregrino</t>
        </is>
      </c>
      <c r="C101" t="inlineStr">
        <is>
          <t>Prio Tigris</t>
        </is>
      </c>
      <c r="D101" t="inlineStr">
        <is>
          <t>Peregrino</t>
        </is>
      </c>
      <c r="E101" t="inlineStr">
        <is>
          <t>Painel elétrico de média tensão</t>
        </is>
      </c>
      <c r="F101" t="inlineStr">
        <is>
          <t>Amostral</t>
        </is>
      </c>
      <c r="G101" s="8" t="n">
        <v>388709.14</v>
      </c>
      <c r="H101" s="8" t="n">
        <v>388709.14</v>
      </c>
      <c r="I101" s="8">
        <f>G101-H101</f>
        <v/>
      </c>
      <c r="J101" s="11">
        <f>IF(G101=0,0,MIN(1,I101/G101))</f>
        <v/>
      </c>
    </row>
    <row r="102">
      <c r="A102" t="inlineStr">
        <is>
          <t>IMB0006868</t>
        </is>
      </c>
      <c r="B102" t="inlineStr">
        <is>
          <t>Plataforma Peregrino</t>
        </is>
      </c>
      <c r="C102" t="inlineStr">
        <is>
          <t>Prio Tigris</t>
        </is>
      </c>
      <c r="D102" t="inlineStr">
        <is>
          <t>Peregrino</t>
        </is>
      </c>
      <c r="E102" t="inlineStr">
        <is>
          <t>Sistema de ancoragem - linha</t>
        </is>
      </c>
      <c r="F102" t="inlineStr">
        <is>
          <t>Amostral</t>
        </is>
      </c>
      <c r="G102" s="8" t="n">
        <v>537157.13</v>
      </c>
      <c r="H102" s="8" t="n">
        <v>537157.13</v>
      </c>
      <c r="I102" s="8">
        <f>G102-H102</f>
        <v/>
      </c>
      <c r="J102" s="11">
        <f>IF(G102=0,0,MIN(1,I102/G102))</f>
        <v/>
      </c>
    </row>
    <row r="103">
      <c r="A103" t="inlineStr">
        <is>
          <t>IMB0006894</t>
        </is>
      </c>
      <c r="B103" t="inlineStr">
        <is>
          <t>Plataforma Peregrino</t>
        </is>
      </c>
      <c r="C103" t="inlineStr">
        <is>
          <t>Prio Tigris</t>
        </is>
      </c>
      <c r="D103" t="inlineStr">
        <is>
          <t>Peregrino</t>
        </is>
      </c>
      <c r="E103" t="inlineStr">
        <is>
          <t>Módulo de utilidades</t>
        </is>
      </c>
      <c r="F103" t="inlineStr">
        <is>
          <t>Amostral</t>
        </is>
      </c>
      <c r="G103" s="8" t="n">
        <v>3816878.87</v>
      </c>
      <c r="H103" s="8" t="n">
        <v>3816878.87</v>
      </c>
      <c r="I103" s="8">
        <f>G103-H103</f>
        <v/>
      </c>
      <c r="J103" s="11">
        <f>IF(G103=0,0,MIN(1,I103/G103))</f>
        <v/>
      </c>
    </row>
    <row r="104">
      <c r="A104" t="inlineStr">
        <is>
          <t>IMB0006952</t>
        </is>
      </c>
      <c r="B104" t="inlineStr">
        <is>
          <t>Plataforma Peregrino</t>
        </is>
      </c>
      <c r="C104" t="inlineStr">
        <is>
          <t>Prio Tigris</t>
        </is>
      </c>
      <c r="D104" t="inlineStr">
        <is>
          <t>Peregrino</t>
        </is>
      </c>
      <c r="E104" t="inlineStr">
        <is>
          <t>Casco e estrutura naval</t>
        </is>
      </c>
      <c r="F104" t="inlineStr">
        <is>
          <t>Amostral</t>
        </is>
      </c>
      <c r="G104" s="8" t="n">
        <v>1001675.9</v>
      </c>
      <c r="H104" s="8" t="n">
        <v>1001675.9</v>
      </c>
      <c r="I104" s="8">
        <f>G104-H104</f>
        <v/>
      </c>
      <c r="J104" s="11">
        <f>IF(G104=0,0,MIN(1,I104/G104))</f>
        <v/>
      </c>
    </row>
    <row r="105">
      <c r="A105" t="inlineStr">
        <is>
          <t>IMB0007010</t>
        </is>
      </c>
      <c r="B105" t="inlineStr">
        <is>
          <t>Plataforma Peregrino</t>
        </is>
      </c>
      <c r="C105" t="inlineStr">
        <is>
          <t>Prio Tigris</t>
        </is>
      </c>
      <c r="D105" t="inlineStr">
        <is>
          <t>Peregrino</t>
        </is>
      </c>
      <c r="E105" t="inlineStr">
        <is>
          <t>Módulo de acomodações</t>
        </is>
      </c>
      <c r="F105" t="inlineStr">
        <is>
          <t>Amostral</t>
        </is>
      </c>
      <c r="G105" s="8" t="n">
        <v>1796596.29</v>
      </c>
      <c r="H105" s="8" t="n">
        <v>1796596.29</v>
      </c>
      <c r="I105" s="8">
        <f>G105-H105</f>
        <v/>
      </c>
      <c r="J105" s="11">
        <f>IF(G105=0,0,MIN(1,I105/G105))</f>
        <v/>
      </c>
    </row>
    <row r="106">
      <c r="A106" t="inlineStr">
        <is>
          <t>IMB0007062</t>
        </is>
      </c>
      <c r="B106" t="inlineStr">
        <is>
          <t>Plataforma Peregrino</t>
        </is>
      </c>
      <c r="C106" t="inlineStr">
        <is>
          <t>Prio Tigris</t>
        </is>
      </c>
      <c r="D106" t="inlineStr">
        <is>
          <t>Peregrino</t>
        </is>
      </c>
      <c r="E106" t="inlineStr">
        <is>
          <t>Compressor de gás</t>
        </is>
      </c>
      <c r="F106" t="inlineStr">
        <is>
          <t>Amostral</t>
        </is>
      </c>
      <c r="G106" s="8" t="n">
        <v>342830.58</v>
      </c>
      <c r="H106" s="8" t="n">
        <v>342830.58</v>
      </c>
      <c r="I106" s="8">
        <f>G106-H106</f>
        <v/>
      </c>
      <c r="J106" s="11">
        <f>IF(G106=0,0,MIN(1,I106/G106))</f>
        <v/>
      </c>
    </row>
    <row r="107">
      <c r="A107" t="inlineStr">
        <is>
          <t>IMB0007109</t>
        </is>
      </c>
      <c r="B107" t="inlineStr">
        <is>
          <t>Plataforma Peregrino</t>
        </is>
      </c>
      <c r="C107" t="inlineStr">
        <is>
          <t>Prio Tigris</t>
        </is>
      </c>
      <c r="D107" t="inlineStr">
        <is>
          <t>Peregrino</t>
        </is>
      </c>
      <c r="E107" t="inlineStr">
        <is>
          <t>Válvula de segurança (SDV)</t>
        </is>
      </c>
      <c r="F107" t="inlineStr">
        <is>
          <t>Amostral</t>
        </is>
      </c>
      <c r="G107" s="8" t="n">
        <v>3867853.95</v>
      </c>
      <c r="H107" s="8" t="n">
        <v>3867853.95</v>
      </c>
      <c r="I107" s="8">
        <f>G107-H107</f>
        <v/>
      </c>
      <c r="J107" s="11">
        <f>IF(G107=0,0,MIN(1,I107/G107))</f>
        <v/>
      </c>
    </row>
    <row r="108">
      <c r="A108" t="inlineStr">
        <is>
          <t>IMB0007167</t>
        </is>
      </c>
      <c r="B108" t="inlineStr">
        <is>
          <t>Plataforma Peregrino</t>
        </is>
      </c>
      <c r="C108" t="inlineStr">
        <is>
          <t>Prio Tigris</t>
        </is>
      </c>
      <c r="D108" t="inlineStr">
        <is>
          <t>Peregrino</t>
        </is>
      </c>
      <c r="E108" t="inlineStr">
        <is>
          <t>Trocador de calor</t>
        </is>
      </c>
      <c r="F108" t="inlineStr">
        <is>
          <t>Amostral</t>
        </is>
      </c>
      <c r="G108" s="8" t="n">
        <v>1130355.05</v>
      </c>
      <c r="H108" s="8" t="n">
        <v>1130355.05</v>
      </c>
      <c r="I108" s="8">
        <f>G108-H108</f>
        <v/>
      </c>
      <c r="J108" s="11">
        <f>IF(G108=0,0,MIN(1,I108/G108))</f>
        <v/>
      </c>
    </row>
    <row r="109">
      <c r="A109" t="inlineStr">
        <is>
          <t>IMB0007216</t>
        </is>
      </c>
      <c r="B109" t="inlineStr">
        <is>
          <t>Plataforma Peregrino</t>
        </is>
      </c>
      <c r="C109" t="inlineStr">
        <is>
          <t>Prio Tigris</t>
        </is>
      </c>
      <c r="D109" t="inlineStr">
        <is>
          <t>Peregrino</t>
        </is>
      </c>
      <c r="E109" t="inlineStr">
        <is>
          <t>Sistema de medição fiscal</t>
        </is>
      </c>
      <c r="F109" t="inlineStr">
        <is>
          <t>Amostral</t>
        </is>
      </c>
      <c r="G109" s="8" t="n">
        <v>10361662.28</v>
      </c>
      <c r="H109" s="8" t="n">
        <v>10361662.28</v>
      </c>
      <c r="I109" s="8">
        <f>G109-H109</f>
        <v/>
      </c>
      <c r="J109" s="11">
        <f>IF(G109=0,0,MIN(1,I109/G109))</f>
        <v/>
      </c>
    </row>
    <row r="110">
      <c r="A110" t="inlineStr">
        <is>
          <t>IMB0007239</t>
        </is>
      </c>
      <c r="B110" t="inlineStr">
        <is>
          <t>Plataforma Peregrino</t>
        </is>
      </c>
      <c r="C110" t="inlineStr">
        <is>
          <t>Prio Tigris</t>
        </is>
      </c>
      <c r="D110" t="inlineStr">
        <is>
          <t>Peregrino</t>
        </is>
      </c>
      <c r="E110" t="inlineStr">
        <is>
          <t>Módulo de utilidades</t>
        </is>
      </c>
      <c r="F110" t="inlineStr">
        <is>
          <t>Topo (&gt;= intervalo)</t>
        </is>
      </c>
      <c r="G110" s="8" t="n">
        <v>33484150.21</v>
      </c>
      <c r="H110" s="8" t="n">
        <v>33484150.21</v>
      </c>
      <c r="I110" s="8">
        <f>G110-H110</f>
        <v/>
      </c>
      <c r="J110" s="11">
        <f>IF(G110=0,0,MIN(1,I110/G110))</f>
        <v/>
      </c>
    </row>
    <row r="111">
      <c r="A111" t="inlineStr">
        <is>
          <t>IMB0007283</t>
        </is>
      </c>
      <c r="B111" t="inlineStr">
        <is>
          <t>Plataforma Peregrino</t>
        </is>
      </c>
      <c r="C111" t="inlineStr">
        <is>
          <t>Prio Tigris</t>
        </is>
      </c>
      <c r="D111" t="inlineStr">
        <is>
          <t>Peregrino</t>
        </is>
      </c>
      <c r="E111" t="inlineStr">
        <is>
          <t>Turbogerador principal</t>
        </is>
      </c>
      <c r="F111" t="inlineStr">
        <is>
          <t>Amostral</t>
        </is>
      </c>
      <c r="G111" s="8" t="n">
        <v>1872849.19</v>
      </c>
      <c r="H111" s="8" t="n">
        <v>1872849.19</v>
      </c>
      <c r="I111" s="8">
        <f>G111-H111</f>
        <v/>
      </c>
      <c r="J111" s="11">
        <f>IF(G111=0,0,MIN(1,I111/G111))</f>
        <v/>
      </c>
    </row>
    <row r="112">
      <c r="A112" t="inlineStr">
        <is>
          <t>IMB0007348</t>
        </is>
      </c>
      <c r="B112" t="inlineStr">
        <is>
          <t>Plataforma Peregrino</t>
        </is>
      </c>
      <c r="C112" t="inlineStr">
        <is>
          <t>Prio Tigris</t>
        </is>
      </c>
      <c r="D112" t="inlineStr">
        <is>
          <t>Peregrino</t>
        </is>
      </c>
      <c r="E112" t="inlineStr">
        <is>
          <t>Instrumentação e automação</t>
        </is>
      </c>
      <c r="F112" t="inlineStr">
        <is>
          <t>Amostral</t>
        </is>
      </c>
      <c r="G112" s="8" t="n">
        <v>6960705.6</v>
      </c>
      <c r="H112" s="8" t="n">
        <v>6960705.6</v>
      </c>
      <c r="I112" s="8">
        <f>G112-H112</f>
        <v/>
      </c>
      <c r="J112" s="11">
        <f>IF(G112=0,0,MIN(1,I112/G112))</f>
        <v/>
      </c>
    </row>
    <row r="113">
      <c r="A113" t="inlineStr">
        <is>
          <t>IMB0007404</t>
        </is>
      </c>
      <c r="B113" t="inlineStr">
        <is>
          <t>Plataforma Peregrino</t>
        </is>
      </c>
      <c r="C113" t="inlineStr">
        <is>
          <t>Prio Tigris</t>
        </is>
      </c>
      <c r="D113" t="inlineStr">
        <is>
          <t>Peregrino</t>
        </is>
      </c>
      <c r="E113" t="inlineStr">
        <is>
          <t>Válvula de segurança (SDV)</t>
        </is>
      </c>
      <c r="F113" t="inlineStr">
        <is>
          <t>Amostral</t>
        </is>
      </c>
      <c r="G113" s="8" t="n">
        <v>2104617.17</v>
      </c>
      <c r="H113" s="8" t="n">
        <v>2104617.17</v>
      </c>
      <c r="I113" s="8">
        <f>G113-H113</f>
        <v/>
      </c>
      <c r="J113" s="11">
        <f>IF(G113=0,0,MIN(1,I113/G113))</f>
        <v/>
      </c>
    </row>
    <row r="114">
      <c r="A114" t="inlineStr">
        <is>
          <t>IMB0007473</t>
        </is>
      </c>
      <c r="B114" t="inlineStr">
        <is>
          <t>Plataforma Peregrino</t>
        </is>
      </c>
      <c r="C114" t="inlineStr">
        <is>
          <t>Prio Tigris</t>
        </is>
      </c>
      <c r="D114" t="inlineStr">
        <is>
          <t>Peregrino</t>
        </is>
      </c>
      <c r="E114" t="inlineStr">
        <is>
          <t>Compressor de gás</t>
        </is>
      </c>
      <c r="F114" t="inlineStr">
        <is>
          <t>Amostral</t>
        </is>
      </c>
      <c r="G114" s="8" t="n">
        <v>1863270.42</v>
      </c>
      <c r="H114" s="8" t="n">
        <v>1863270.42</v>
      </c>
      <c r="I114" s="8">
        <f>G114-H114</f>
        <v/>
      </c>
      <c r="J114" s="11">
        <f>IF(G114=0,0,MIN(1,I114/G114))</f>
        <v/>
      </c>
    </row>
    <row r="115">
      <c r="A115" t="inlineStr">
        <is>
          <t>IMB0007485</t>
        </is>
      </c>
      <c r="B115" t="inlineStr">
        <is>
          <t>Plataforma Peregrino</t>
        </is>
      </c>
      <c r="C115" t="inlineStr">
        <is>
          <t>Prio Tigris</t>
        </is>
      </c>
      <c r="D115" t="inlineStr">
        <is>
          <t>Peregrino</t>
        </is>
      </c>
      <c r="E115" t="inlineStr">
        <is>
          <t>Sistema de injeção de água</t>
        </is>
      </c>
      <c r="F115" t="inlineStr">
        <is>
          <t>Amostral</t>
        </is>
      </c>
      <c r="G115" s="8" t="n">
        <v>24370322.69</v>
      </c>
      <c r="H115" s="8" t="n">
        <v>24370322.69</v>
      </c>
      <c r="I115" s="8">
        <f>G115-H115</f>
        <v/>
      </c>
      <c r="J115" s="11">
        <f>IF(G115=0,0,MIN(1,I115/G115))</f>
        <v/>
      </c>
    </row>
    <row r="116">
      <c r="A116" t="inlineStr">
        <is>
          <t>IMB0007514</t>
        </is>
      </c>
      <c r="B116" t="inlineStr">
        <is>
          <t>Plataforma Peregrino</t>
        </is>
      </c>
      <c r="C116" t="inlineStr">
        <is>
          <t>Prio Tigris</t>
        </is>
      </c>
      <c r="D116" t="inlineStr">
        <is>
          <t>Peregrino</t>
        </is>
      </c>
      <c r="E116" t="inlineStr">
        <is>
          <t>Turret/swivel</t>
        </is>
      </c>
      <c r="F116" t="inlineStr">
        <is>
          <t>Amostral</t>
        </is>
      </c>
      <c r="G116" s="8" t="n">
        <v>987123.78</v>
      </c>
      <c r="H116" s="8" t="n">
        <v>987123.78</v>
      </c>
      <c r="I116" s="8">
        <f>G116-H116</f>
        <v/>
      </c>
      <c r="J116" s="11">
        <f>IF(G116=0,0,MIN(1,I116/G116))</f>
        <v/>
      </c>
    </row>
    <row r="117">
      <c r="A117" t="inlineStr">
        <is>
          <t>IMB0007604</t>
        </is>
      </c>
      <c r="B117" t="inlineStr">
        <is>
          <t>Plataforma Peregrino</t>
        </is>
      </c>
      <c r="C117" t="inlineStr">
        <is>
          <t>Prio Tigris</t>
        </is>
      </c>
      <c r="D117" t="inlineStr">
        <is>
          <t>Peregrino</t>
        </is>
      </c>
      <c r="E117" t="inlineStr">
        <is>
          <t>Sistema de injeção de água</t>
        </is>
      </c>
      <c r="F117" t="inlineStr">
        <is>
          <t>Amostral</t>
        </is>
      </c>
      <c r="G117" s="8" t="n">
        <v>4554290.59</v>
      </c>
      <c r="H117" s="8" t="n">
        <v>4554290.59</v>
      </c>
      <c r="I117" s="8">
        <f>G117-H117</f>
        <v/>
      </c>
      <c r="J117" s="11">
        <f>IF(G117=0,0,MIN(1,I117/G117))</f>
        <v/>
      </c>
    </row>
    <row r="118">
      <c r="A118" t="inlineStr">
        <is>
          <t>IMB0007662</t>
        </is>
      </c>
      <c r="B118" t="inlineStr">
        <is>
          <t>Plataforma Peregrino</t>
        </is>
      </c>
      <c r="C118" t="inlineStr">
        <is>
          <t>Prio Tigris</t>
        </is>
      </c>
      <c r="D118" t="inlineStr">
        <is>
          <t>Peregrino</t>
        </is>
      </c>
      <c r="E118" t="inlineStr">
        <is>
          <t>Compressor de gás</t>
        </is>
      </c>
      <c r="F118" t="inlineStr">
        <is>
          <t>Amostral</t>
        </is>
      </c>
      <c r="G118" s="8" t="n">
        <v>11300286.35</v>
      </c>
      <c r="H118" s="8" t="n">
        <v>11300286.35</v>
      </c>
      <c r="I118" s="8">
        <f>G118-H118</f>
        <v/>
      </c>
      <c r="J118" s="11">
        <f>IF(G118=0,0,MIN(1,I118/G118))</f>
        <v/>
      </c>
    </row>
    <row r="119">
      <c r="A119" t="inlineStr">
        <is>
          <t>IMB0007689</t>
        </is>
      </c>
      <c r="B119" t="inlineStr">
        <is>
          <t>Plataforma Peregrino</t>
        </is>
      </c>
      <c r="C119" t="inlineStr">
        <is>
          <t>Prio Tigris</t>
        </is>
      </c>
      <c r="D119" t="inlineStr">
        <is>
          <t>Peregrino</t>
        </is>
      </c>
      <c r="E119" t="inlineStr">
        <is>
          <t>Sistema de combate a incêndio (dilúvio)</t>
        </is>
      </c>
      <c r="F119" t="inlineStr">
        <is>
          <t>Amostral</t>
        </is>
      </c>
      <c r="G119" s="8" t="n">
        <v>560214.48</v>
      </c>
      <c r="H119" s="8" t="n">
        <v>560214.48</v>
      </c>
      <c r="I119" s="8">
        <f>G119-H119</f>
        <v/>
      </c>
      <c r="J119" s="11">
        <f>IF(G119=0,0,MIN(1,I119/G119))</f>
        <v/>
      </c>
    </row>
    <row r="120">
      <c r="A120" t="inlineStr">
        <is>
          <t>IMB0007736</t>
        </is>
      </c>
      <c r="B120" t="inlineStr">
        <is>
          <t>Plataforma Peregrino</t>
        </is>
      </c>
      <c r="C120" t="inlineStr">
        <is>
          <t>Prio Tigris</t>
        </is>
      </c>
      <c r="D120" t="inlineStr">
        <is>
          <t>Peregrino</t>
        </is>
      </c>
      <c r="E120" t="inlineStr">
        <is>
          <t>Módulo de utilidades</t>
        </is>
      </c>
      <c r="F120" t="inlineStr">
        <is>
          <t>Amostral</t>
        </is>
      </c>
      <c r="G120" s="8" t="n">
        <v>147233.14</v>
      </c>
      <c r="H120" s="8" t="n">
        <v>147233.14</v>
      </c>
      <c r="I120" s="8">
        <f>G120-H120</f>
        <v/>
      </c>
      <c r="J120" s="11">
        <f>IF(G120=0,0,MIN(1,I120/G120))</f>
        <v/>
      </c>
    </row>
    <row r="121">
      <c r="A121" t="inlineStr">
        <is>
          <t>IMB0007765</t>
        </is>
      </c>
      <c r="B121" t="inlineStr">
        <is>
          <t>Plataforma Peregrino</t>
        </is>
      </c>
      <c r="C121" t="inlineStr">
        <is>
          <t>Prio Tigris</t>
        </is>
      </c>
      <c r="D121" t="inlineStr">
        <is>
          <t>Peregrino</t>
        </is>
      </c>
      <c r="E121" t="inlineStr">
        <is>
          <t>Sistema de combate a incêndio (dilúvio)</t>
        </is>
      </c>
      <c r="F121" t="inlineStr">
        <is>
          <t>Amostral</t>
        </is>
      </c>
      <c r="G121" s="8" t="n">
        <v>264705.42</v>
      </c>
      <c r="H121" s="8" t="n">
        <v>264705.42</v>
      </c>
      <c r="I121" s="8">
        <f>G121-H121</f>
        <v/>
      </c>
      <c r="J121" s="11">
        <f>IF(G121=0,0,MIN(1,I121/G121))</f>
        <v/>
      </c>
    </row>
    <row r="122">
      <c r="A122" t="inlineStr">
        <is>
          <t>IMB0007798</t>
        </is>
      </c>
      <c r="B122" t="inlineStr">
        <is>
          <t>Plataforma Peregrino</t>
        </is>
      </c>
      <c r="C122" t="inlineStr">
        <is>
          <t>Prio Tigris</t>
        </is>
      </c>
      <c r="D122" t="inlineStr">
        <is>
          <t>Peregrino</t>
        </is>
      </c>
      <c r="E122" t="inlineStr">
        <is>
          <t>Guindaste offshore</t>
        </is>
      </c>
      <c r="F122" t="inlineStr">
        <is>
          <t>Amostral</t>
        </is>
      </c>
      <c r="G122" s="8" t="n">
        <v>77862.66</v>
      </c>
      <c r="H122" s="8" t="n">
        <v>77862.66</v>
      </c>
      <c r="I122" s="8">
        <f>G122-H122</f>
        <v/>
      </c>
      <c r="J122" s="11">
        <f>IF(G122=0,0,MIN(1,I122/G122))</f>
        <v/>
      </c>
    </row>
    <row r="123">
      <c r="A123" t="inlineStr">
        <is>
          <t>IMB0007849</t>
        </is>
      </c>
      <c r="B123" t="inlineStr">
        <is>
          <t>Plataforma Peregrino</t>
        </is>
      </c>
      <c r="C123" t="inlineStr">
        <is>
          <t>Prio Tigris</t>
        </is>
      </c>
      <c r="D123" t="inlineStr">
        <is>
          <t>Peregrino</t>
        </is>
      </c>
      <c r="E123" t="inlineStr">
        <is>
          <t>Sistema de flare</t>
        </is>
      </c>
      <c r="F123" t="inlineStr">
        <is>
          <t>Amostral</t>
        </is>
      </c>
      <c r="G123" s="8" t="n">
        <v>2954873.9</v>
      </c>
      <c r="H123" s="8" t="n">
        <v>2954873.9</v>
      </c>
      <c r="I123" s="8">
        <f>G123-H123</f>
        <v/>
      </c>
      <c r="J123" s="11">
        <f>IF(G123=0,0,MIN(1,I123/G123))</f>
        <v/>
      </c>
    </row>
    <row r="124">
      <c r="A124" t="inlineStr">
        <is>
          <t>IMB0007886</t>
        </is>
      </c>
      <c r="B124" t="inlineStr">
        <is>
          <t>Plataforma Peregrino</t>
        </is>
      </c>
      <c r="C124" t="inlineStr">
        <is>
          <t>Prio Tigris</t>
        </is>
      </c>
      <c r="D124" t="inlineStr">
        <is>
          <t>Peregrino</t>
        </is>
      </c>
      <c r="E124" t="inlineStr">
        <is>
          <t>Sistema de medição fiscal</t>
        </is>
      </c>
      <c r="F124" t="inlineStr">
        <is>
          <t>Amostral</t>
        </is>
      </c>
      <c r="G124" s="8" t="n">
        <v>795027.29</v>
      </c>
      <c r="H124" s="8" t="n">
        <v>795027.29</v>
      </c>
      <c r="I124" s="8">
        <f>G124-H124</f>
        <v/>
      </c>
      <c r="J124" s="11">
        <f>IF(G124=0,0,MIN(1,I124/G124))</f>
        <v/>
      </c>
    </row>
    <row r="125">
      <c r="A125" t="inlineStr">
        <is>
          <t>IMB0007910</t>
        </is>
      </c>
      <c r="B125" t="inlineStr">
        <is>
          <t>Plataforma Peregrino</t>
        </is>
      </c>
      <c r="C125" t="inlineStr">
        <is>
          <t>Prio Tigris</t>
        </is>
      </c>
      <c r="D125" t="inlineStr">
        <is>
          <t>Peregrino</t>
        </is>
      </c>
      <c r="E125" t="inlineStr">
        <is>
          <t>Bomba de transferência de carga</t>
        </is>
      </c>
      <c r="F125" t="inlineStr">
        <is>
          <t>Amostral</t>
        </is>
      </c>
      <c r="G125" s="8" t="n">
        <v>2467423.4</v>
      </c>
      <c r="H125" s="8" t="n">
        <v>2467423.4</v>
      </c>
      <c r="I125" s="8">
        <f>G125-H125</f>
        <v/>
      </c>
      <c r="J125" s="11">
        <f>IF(G125=0,0,MIN(1,I125/G125))</f>
        <v/>
      </c>
    </row>
    <row r="126">
      <c r="A126" t="inlineStr">
        <is>
          <t>IMB0007966</t>
        </is>
      </c>
      <c r="B126" t="inlineStr">
        <is>
          <t>Plataforma Peregrino</t>
        </is>
      </c>
      <c r="C126" t="inlineStr">
        <is>
          <t>Prio Tigris</t>
        </is>
      </c>
      <c r="D126" t="inlineStr">
        <is>
          <t>Peregrino</t>
        </is>
      </c>
      <c r="E126" t="inlineStr">
        <is>
          <t>Módulo de acomodações</t>
        </is>
      </c>
      <c r="F126" t="inlineStr">
        <is>
          <t>Amostral</t>
        </is>
      </c>
      <c r="G126" s="8" t="n">
        <v>7816422.3</v>
      </c>
      <c r="H126" s="8" t="n">
        <v>7816422.3</v>
      </c>
      <c r="I126" s="8">
        <f>G126-H126</f>
        <v/>
      </c>
      <c r="J126" s="11">
        <f>IF(G126=0,0,MIN(1,I126/G126))</f>
        <v/>
      </c>
    </row>
    <row r="127">
      <c r="A127" t="inlineStr">
        <is>
          <t>IMB0008006</t>
        </is>
      </c>
      <c r="B127" t="inlineStr">
        <is>
          <t>Plataforma Peregrino</t>
        </is>
      </c>
      <c r="C127" t="inlineStr">
        <is>
          <t>Prio Tigris</t>
        </is>
      </c>
      <c r="D127" t="inlineStr">
        <is>
          <t>Peregrino</t>
        </is>
      </c>
      <c r="E127" t="inlineStr">
        <is>
          <t>Sistema de ancoragem - linha</t>
        </is>
      </c>
      <c r="F127" t="inlineStr">
        <is>
          <t>Amostral</t>
        </is>
      </c>
      <c r="G127" s="8" t="n">
        <v>1333275.64</v>
      </c>
      <c r="H127" s="8" t="n">
        <v>1333275.64</v>
      </c>
      <c r="I127" s="8">
        <f>G127-H127</f>
        <v/>
      </c>
      <c r="J127" s="11">
        <f>IF(G127=0,0,MIN(1,I127/G127))</f>
        <v/>
      </c>
    </row>
    <row r="128">
      <c r="A128" t="inlineStr">
        <is>
          <t>IMB0008065</t>
        </is>
      </c>
      <c r="B128" t="inlineStr">
        <is>
          <t>Plataforma Peregrino</t>
        </is>
      </c>
      <c r="C128" t="inlineStr">
        <is>
          <t>Prio Tigris</t>
        </is>
      </c>
      <c r="D128" t="inlineStr">
        <is>
          <t>Peregrino</t>
        </is>
      </c>
      <c r="E128" t="inlineStr">
        <is>
          <t>Bomba de transferência de carga</t>
        </is>
      </c>
      <c r="F128" t="inlineStr">
        <is>
          <t>Amostral</t>
        </is>
      </c>
      <c r="G128" s="8" t="n">
        <v>12292332.67</v>
      </c>
      <c r="H128" s="8" t="n">
        <v>12292332.67</v>
      </c>
      <c r="I128" s="8">
        <f>G128-H128</f>
        <v/>
      </c>
      <c r="J128" s="11">
        <f>IF(G128=0,0,MIN(1,I128/G128))</f>
        <v/>
      </c>
    </row>
    <row r="129">
      <c r="A129" t="inlineStr">
        <is>
          <t>IMB0008140</t>
        </is>
      </c>
      <c r="B129" t="inlineStr">
        <is>
          <t>Plataforma Peregrino</t>
        </is>
      </c>
      <c r="C129" t="inlineStr">
        <is>
          <t>Prio Tigris</t>
        </is>
      </c>
      <c r="D129" t="inlineStr">
        <is>
          <t>Peregrino</t>
        </is>
      </c>
      <c r="E129" t="inlineStr">
        <is>
          <t>Sistema de combate a incêndio (dilúvio)</t>
        </is>
      </c>
      <c r="F129" t="inlineStr">
        <is>
          <t>Amostral</t>
        </is>
      </c>
      <c r="G129" s="8" t="n">
        <v>12800037.69</v>
      </c>
      <c r="H129" s="8" t="n">
        <v>12800037.69</v>
      </c>
      <c r="I129" s="8">
        <f>G129-H129</f>
        <v/>
      </c>
      <c r="J129" s="11">
        <f>IF(G129=0,0,MIN(1,I129/G129))</f>
        <v/>
      </c>
    </row>
    <row r="130">
      <c r="A130" t="inlineStr">
        <is>
          <t>IMB0008168</t>
        </is>
      </c>
      <c r="B130" t="inlineStr">
        <is>
          <t>Plataforma Peregrino</t>
        </is>
      </c>
      <c r="C130" t="inlineStr">
        <is>
          <t>Prio Tigris</t>
        </is>
      </c>
      <c r="D130" t="inlineStr">
        <is>
          <t>Peregrino</t>
        </is>
      </c>
      <c r="E130" t="inlineStr">
        <is>
          <t>Sistema de flare</t>
        </is>
      </c>
      <c r="F130" t="inlineStr">
        <is>
          <t>Amostral</t>
        </is>
      </c>
      <c r="G130" s="8" t="n">
        <v>6241189.71</v>
      </c>
      <c r="H130" s="8" t="n">
        <v>6241189.71</v>
      </c>
      <c r="I130" s="8">
        <f>G130-H130</f>
        <v/>
      </c>
      <c r="J130" s="11">
        <f>IF(G130=0,0,MIN(1,I130/G130))</f>
        <v/>
      </c>
    </row>
    <row r="131">
      <c r="A131" t="inlineStr">
        <is>
          <t>IMB0008207</t>
        </is>
      </c>
      <c r="B131" t="inlineStr">
        <is>
          <t>Plataforma Peregrino</t>
        </is>
      </c>
      <c r="C131" t="inlineStr">
        <is>
          <t>Prio Tigris</t>
        </is>
      </c>
      <c r="D131" t="inlineStr">
        <is>
          <t>Peregrino</t>
        </is>
      </c>
      <c r="E131" t="inlineStr">
        <is>
          <t>Sistema de medição fiscal</t>
        </is>
      </c>
      <c r="F131" t="inlineStr">
        <is>
          <t>Amostral</t>
        </is>
      </c>
      <c r="G131" s="8" t="n">
        <v>1619133.38</v>
      </c>
      <c r="H131" s="8" t="n">
        <v>1619133.38</v>
      </c>
      <c r="I131" s="8">
        <f>G131-H131</f>
        <v/>
      </c>
      <c r="J131" s="11">
        <f>IF(G131=0,0,MIN(1,I131/G131))</f>
        <v/>
      </c>
    </row>
    <row r="132">
      <c r="A132" t="inlineStr">
        <is>
          <t>IMB0008261</t>
        </is>
      </c>
      <c r="B132" t="inlineStr">
        <is>
          <t>Plataforma Peregrino</t>
        </is>
      </c>
      <c r="C132" t="inlineStr">
        <is>
          <t>Prio Tigris</t>
        </is>
      </c>
      <c r="D132" t="inlineStr">
        <is>
          <t>Peregrino</t>
        </is>
      </c>
      <c r="E132" t="inlineStr">
        <is>
          <t>Turret/swivel</t>
        </is>
      </c>
      <c r="F132" t="inlineStr">
        <is>
          <t>Amostral</t>
        </is>
      </c>
      <c r="G132" s="8" t="n">
        <v>1378514.93</v>
      </c>
      <c r="H132" s="8" t="n">
        <v>1378514.93</v>
      </c>
      <c r="I132" s="8">
        <f>G132-H132</f>
        <v/>
      </c>
      <c r="J132" s="11">
        <f>IF(G132=0,0,MIN(1,I132/G132))</f>
        <v/>
      </c>
    </row>
    <row r="133">
      <c r="A133" t="inlineStr">
        <is>
          <t>IMB0008340</t>
        </is>
      </c>
      <c r="B133" t="inlineStr">
        <is>
          <t>Plataforma Peregrino</t>
        </is>
      </c>
      <c r="C133" t="inlineStr">
        <is>
          <t>Prio Tigris</t>
        </is>
      </c>
      <c r="D133" t="inlineStr">
        <is>
          <t>Peregrino</t>
        </is>
      </c>
      <c r="E133" t="inlineStr">
        <is>
          <t>Módulo de acomodações</t>
        </is>
      </c>
      <c r="F133" t="inlineStr">
        <is>
          <t>Amostral</t>
        </is>
      </c>
      <c r="G133" s="8" t="n">
        <v>6178063.79</v>
      </c>
      <c r="H133" s="8" t="n">
        <v>6178063.79</v>
      </c>
      <c r="I133" s="8">
        <f>G133-H133</f>
        <v/>
      </c>
      <c r="J133" s="11">
        <f>IF(G133=0,0,MIN(1,I133/G133))</f>
        <v/>
      </c>
    </row>
    <row r="134">
      <c r="A134" t="inlineStr">
        <is>
          <t>IMB0008372</t>
        </is>
      </c>
      <c r="B134" t="inlineStr">
        <is>
          <t>Plataforma Peregrino</t>
        </is>
      </c>
      <c r="C134" t="inlineStr">
        <is>
          <t>Prio Tigris</t>
        </is>
      </c>
      <c r="D134" t="inlineStr">
        <is>
          <t>Peregrino</t>
        </is>
      </c>
      <c r="E134" t="inlineStr">
        <is>
          <t>Sistema de injeção de água</t>
        </is>
      </c>
      <c r="F134" t="inlineStr">
        <is>
          <t>Amostral</t>
        </is>
      </c>
      <c r="G134" s="8" t="n">
        <v>942392.8199999999</v>
      </c>
      <c r="H134" s="8" t="n">
        <v>942392.8199999999</v>
      </c>
      <c r="I134" s="8">
        <f>G134-H134</f>
        <v/>
      </c>
      <c r="J134" s="11">
        <f>IF(G134=0,0,MIN(1,I134/G134))</f>
        <v/>
      </c>
    </row>
    <row r="135">
      <c r="A135" t="inlineStr">
        <is>
          <t>IMB0008400</t>
        </is>
      </c>
      <c r="B135" t="inlineStr">
        <is>
          <t>Plataforma Peregrino</t>
        </is>
      </c>
      <c r="C135" t="inlineStr">
        <is>
          <t>Prio Tigris</t>
        </is>
      </c>
      <c r="D135" t="inlineStr">
        <is>
          <t>Peregrino</t>
        </is>
      </c>
      <c r="E135" t="inlineStr">
        <is>
          <t>Turbogerador principal</t>
        </is>
      </c>
      <c r="F135" t="inlineStr">
        <is>
          <t>Amostral</t>
        </is>
      </c>
      <c r="G135" s="8" t="n">
        <v>19218.8</v>
      </c>
      <c r="H135" s="8" t="n">
        <v>19218.8</v>
      </c>
      <c r="I135" s="8">
        <f>G135-H135</f>
        <v/>
      </c>
      <c r="J135" s="11">
        <f>IF(G135=0,0,MIN(1,I135/G135))</f>
        <v/>
      </c>
    </row>
    <row r="136">
      <c r="A136" t="inlineStr">
        <is>
          <t>IMB0008459</t>
        </is>
      </c>
      <c r="B136" t="inlineStr">
        <is>
          <t>Plataforma Peregrino</t>
        </is>
      </c>
      <c r="C136" t="inlineStr">
        <is>
          <t>Prio Tigris</t>
        </is>
      </c>
      <c r="D136" t="inlineStr">
        <is>
          <t>Peregrino</t>
        </is>
      </c>
      <c r="E136" t="inlineStr">
        <is>
          <t>Painel elétrico de média tensão</t>
        </is>
      </c>
      <c r="F136" t="inlineStr">
        <is>
          <t>Amostral</t>
        </is>
      </c>
      <c r="G136" s="8" t="n">
        <v>785832.13</v>
      </c>
      <c r="H136" s="8" t="n">
        <v>785832.13</v>
      </c>
      <c r="I136" s="8">
        <f>G136-H136</f>
        <v/>
      </c>
      <c r="J136" s="11">
        <f>IF(G136=0,0,MIN(1,I136/G136))</f>
        <v/>
      </c>
    </row>
    <row r="137">
      <c r="A137" t="inlineStr">
        <is>
          <t>IMB0008519</t>
        </is>
      </c>
      <c r="B137" t="inlineStr">
        <is>
          <t>Plataforma Peregrino</t>
        </is>
      </c>
      <c r="C137" t="inlineStr">
        <is>
          <t>Prio Tigris</t>
        </is>
      </c>
      <c r="D137" t="inlineStr">
        <is>
          <t>Peregrino</t>
        </is>
      </c>
      <c r="E137" t="inlineStr">
        <is>
          <t>Módulo de utilidades</t>
        </is>
      </c>
      <c r="F137" t="inlineStr">
        <is>
          <t>Amostral</t>
        </is>
      </c>
      <c r="G137" s="8" t="n">
        <v>3099232.6</v>
      </c>
      <c r="H137" s="8" t="n">
        <v>3099232.6</v>
      </c>
      <c r="I137" s="8">
        <f>G137-H137</f>
        <v/>
      </c>
      <c r="J137" s="11">
        <f>IF(G137=0,0,MIN(1,I137/G137))</f>
        <v/>
      </c>
    </row>
    <row r="138">
      <c r="A138" t="inlineStr">
        <is>
          <t>IMB0008560</t>
        </is>
      </c>
      <c r="B138" t="inlineStr">
        <is>
          <t>Plataforma Peregrino</t>
        </is>
      </c>
      <c r="C138" t="inlineStr">
        <is>
          <t>Prio Tigris</t>
        </is>
      </c>
      <c r="D138" t="inlineStr">
        <is>
          <t>Peregrino</t>
        </is>
      </c>
      <c r="E138" t="inlineStr">
        <is>
          <t>Tanque de carga</t>
        </is>
      </c>
      <c r="F138" t="inlineStr">
        <is>
          <t>Amostral</t>
        </is>
      </c>
      <c r="G138" s="8" t="n">
        <v>2635573.83</v>
      </c>
      <c r="H138" s="8" t="n">
        <v>2635573.83</v>
      </c>
      <c r="I138" s="8">
        <f>G138-H138</f>
        <v/>
      </c>
      <c r="J138" s="11">
        <f>IF(G138=0,0,MIN(1,I138/G138))</f>
        <v/>
      </c>
    </row>
    <row r="139">
      <c r="A139" t="inlineStr">
        <is>
          <t>IMB0008607</t>
        </is>
      </c>
      <c r="B139" t="inlineStr">
        <is>
          <t>Plataforma Peregrino</t>
        </is>
      </c>
      <c r="C139" t="inlineStr">
        <is>
          <t>Prio Tigris</t>
        </is>
      </c>
      <c r="D139" t="inlineStr">
        <is>
          <t>Peregrino</t>
        </is>
      </c>
      <c r="E139" t="inlineStr">
        <is>
          <t>Módulo de utilidades</t>
        </is>
      </c>
      <c r="F139" t="inlineStr">
        <is>
          <t>Amostral</t>
        </is>
      </c>
      <c r="G139" s="8" t="n">
        <v>16464474.89</v>
      </c>
      <c r="H139" s="8" t="n">
        <v>16464474.89</v>
      </c>
      <c r="I139" s="8">
        <f>G139-H139</f>
        <v/>
      </c>
      <c r="J139" s="11">
        <f>IF(G139=0,0,MIN(1,I139/G139))</f>
        <v/>
      </c>
    </row>
    <row r="140">
      <c r="A140" t="inlineStr">
        <is>
          <t>IMB0008611</t>
        </is>
      </c>
      <c r="B140" t="inlineStr">
        <is>
          <t>Plataforma Peregrino</t>
        </is>
      </c>
      <c r="C140" t="inlineStr">
        <is>
          <t>Prio Tigris</t>
        </is>
      </c>
      <c r="D140" t="inlineStr">
        <is>
          <t>Peregrino</t>
        </is>
      </c>
      <c r="E140" t="inlineStr">
        <is>
          <t>Planta de processo - separador trifásico</t>
        </is>
      </c>
      <c r="F140" t="inlineStr">
        <is>
          <t>Amostral</t>
        </is>
      </c>
      <c r="G140" s="8" t="n">
        <v>18576856.15</v>
      </c>
      <c r="H140" s="8" t="n">
        <v>18576856.15</v>
      </c>
      <c r="I140" s="8">
        <f>G140-H140</f>
        <v/>
      </c>
      <c r="J140" s="11">
        <f>IF(G140=0,0,MIN(1,I140/G140))</f>
        <v/>
      </c>
    </row>
    <row r="141">
      <c r="A141" t="inlineStr">
        <is>
          <t>IMB0008634</t>
        </is>
      </c>
      <c r="B141" t="inlineStr">
        <is>
          <t>Plataforma Peregrino</t>
        </is>
      </c>
      <c r="C141" t="inlineStr">
        <is>
          <t>Prio Tigris</t>
        </is>
      </c>
      <c r="D141" t="inlineStr">
        <is>
          <t>Peregrino</t>
        </is>
      </c>
      <c r="E141" t="inlineStr">
        <is>
          <t>Bomba de transferência de carga</t>
        </is>
      </c>
      <c r="F141" t="inlineStr">
        <is>
          <t>Amostral</t>
        </is>
      </c>
      <c r="G141" s="8" t="n">
        <v>25082693.25</v>
      </c>
      <c r="H141" s="8" t="n">
        <v>25082693.25</v>
      </c>
      <c r="I141" s="8">
        <f>G141-H141</f>
        <v/>
      </c>
      <c r="J141" s="11">
        <f>IF(G141=0,0,MIN(1,I141/G141))</f>
        <v/>
      </c>
    </row>
    <row r="142">
      <c r="A142" t="inlineStr">
        <is>
          <t>IMB0008655</t>
        </is>
      </c>
      <c r="B142" t="inlineStr">
        <is>
          <t>Plataforma Peregrino</t>
        </is>
      </c>
      <c r="C142" t="inlineStr">
        <is>
          <t>Prio Tigris</t>
        </is>
      </c>
      <c r="D142" t="inlineStr">
        <is>
          <t>Peregrino</t>
        </is>
      </c>
      <c r="E142" t="inlineStr">
        <is>
          <t>Guindaste offshore</t>
        </is>
      </c>
      <c r="F142" t="inlineStr">
        <is>
          <t>Amostral</t>
        </is>
      </c>
      <c r="G142" s="8" t="n">
        <v>317795.89</v>
      </c>
      <c r="H142" s="8" t="n">
        <v>317795.89</v>
      </c>
      <c r="I142" s="8">
        <f>G142-H142</f>
        <v/>
      </c>
      <c r="J142" s="11">
        <f>IF(G142=0,0,MIN(1,I142/G142))</f>
        <v/>
      </c>
    </row>
    <row r="143">
      <c r="A143" t="inlineStr">
        <is>
          <t>IMB0008711</t>
        </is>
      </c>
      <c r="B143" t="inlineStr">
        <is>
          <t>Plataforma Peregrino</t>
        </is>
      </c>
      <c r="C143" t="inlineStr">
        <is>
          <t>Prio Tigris</t>
        </is>
      </c>
      <c r="D143" t="inlineStr">
        <is>
          <t>Peregrino</t>
        </is>
      </c>
      <c r="E143" t="inlineStr">
        <is>
          <t>Módulo de utilidades</t>
        </is>
      </c>
      <c r="F143" t="inlineStr">
        <is>
          <t>Amostral</t>
        </is>
      </c>
      <c r="G143" s="8" t="n">
        <v>605699.8</v>
      </c>
      <c r="H143" s="8" t="n">
        <v>605699.8</v>
      </c>
      <c r="I143" s="8">
        <f>G143-H143</f>
        <v/>
      </c>
      <c r="J143" s="11">
        <f>IF(G143=0,0,MIN(1,I143/G143))</f>
        <v/>
      </c>
    </row>
    <row r="144">
      <c r="A144" t="inlineStr">
        <is>
          <t>IMB0008764</t>
        </is>
      </c>
      <c r="B144" t="inlineStr">
        <is>
          <t>Plataforma Peregrino</t>
        </is>
      </c>
      <c r="C144" t="inlineStr">
        <is>
          <t>Prio Tigris</t>
        </is>
      </c>
      <c r="D144" t="inlineStr">
        <is>
          <t>Peregrino</t>
        </is>
      </c>
      <c r="E144" t="inlineStr">
        <is>
          <t>Guindaste offshore</t>
        </is>
      </c>
      <c r="F144" t="inlineStr">
        <is>
          <t>Amostral</t>
        </is>
      </c>
      <c r="G144" s="8" t="n">
        <v>17078564.1</v>
      </c>
      <c r="H144" s="8" t="n">
        <v>17078564.1</v>
      </c>
      <c r="I144" s="8">
        <f>G144-H144</f>
        <v/>
      </c>
      <c r="J144" s="11">
        <f>IF(G144=0,0,MIN(1,I144/G144))</f>
        <v/>
      </c>
    </row>
    <row r="145">
      <c r="A145" t="inlineStr">
        <is>
          <t>IMB0008775</t>
        </is>
      </c>
      <c r="B145" t="inlineStr">
        <is>
          <t>Plataforma Peregrino</t>
        </is>
      </c>
      <c r="C145" t="inlineStr">
        <is>
          <t>Prio Tigris</t>
        </is>
      </c>
      <c r="D145" t="inlineStr">
        <is>
          <t>Peregrino</t>
        </is>
      </c>
      <c r="E145" t="inlineStr">
        <is>
          <t>Válvula de segurança (SDV)</t>
        </is>
      </c>
      <c r="F145" t="inlineStr">
        <is>
          <t>Amostral</t>
        </is>
      </c>
      <c r="G145" s="8" t="n">
        <v>13877310.19</v>
      </c>
      <c r="H145" s="8" t="n">
        <v>13877310.19</v>
      </c>
      <c r="I145" s="8">
        <f>G145-H145</f>
        <v/>
      </c>
      <c r="J145" s="11">
        <f>IF(G145=0,0,MIN(1,I145/G145))</f>
        <v/>
      </c>
    </row>
    <row r="146">
      <c r="A146" t="inlineStr">
        <is>
          <t>IMB0008812</t>
        </is>
      </c>
      <c r="B146" t="inlineStr">
        <is>
          <t>Plataforma Peregrino</t>
        </is>
      </c>
      <c r="C146" t="inlineStr">
        <is>
          <t>Prio Tigris</t>
        </is>
      </c>
      <c r="D146" t="inlineStr">
        <is>
          <t>Peregrino</t>
        </is>
      </c>
      <c r="E146" t="inlineStr">
        <is>
          <t>Bomba de transferência de carga</t>
        </is>
      </c>
      <c r="F146" t="inlineStr">
        <is>
          <t>Amostral</t>
        </is>
      </c>
      <c r="G146" s="8" t="n">
        <v>7239197.9</v>
      </c>
      <c r="H146" s="8" t="n">
        <v>7239197.9</v>
      </c>
      <c r="I146" s="8">
        <f>G146-H146</f>
        <v/>
      </c>
      <c r="J146" s="11">
        <f>IF(G146=0,0,MIN(1,I146/G146))</f>
        <v/>
      </c>
    </row>
    <row r="147">
      <c r="A147" t="inlineStr">
        <is>
          <t>IMB0008834</t>
        </is>
      </c>
      <c r="B147" t="inlineStr">
        <is>
          <t>Plataforma Peregrino</t>
        </is>
      </c>
      <c r="C147" t="inlineStr">
        <is>
          <t>Prio Tigris</t>
        </is>
      </c>
      <c r="D147" t="inlineStr">
        <is>
          <t>Peregrino</t>
        </is>
      </c>
      <c r="E147" t="inlineStr">
        <is>
          <t>Instrumentação e automação</t>
        </is>
      </c>
      <c r="F147" t="inlineStr">
        <is>
          <t>Amostral</t>
        </is>
      </c>
      <c r="G147" s="8" t="n">
        <v>10699430.08</v>
      </c>
      <c r="H147" s="8" t="n">
        <v>10699430.08</v>
      </c>
      <c r="I147" s="8">
        <f>G147-H147</f>
        <v/>
      </c>
      <c r="J147" s="11">
        <f>IF(G147=0,0,MIN(1,I147/G147))</f>
        <v/>
      </c>
    </row>
    <row r="148">
      <c r="A148" t="inlineStr">
        <is>
          <t>IMB0008914</t>
        </is>
      </c>
      <c r="B148" t="inlineStr">
        <is>
          <t>Plataforma Peregrino</t>
        </is>
      </c>
      <c r="C148" t="inlineStr">
        <is>
          <t>Prio Tigris</t>
        </is>
      </c>
      <c r="D148" t="inlineStr">
        <is>
          <t>Peregrino</t>
        </is>
      </c>
      <c r="E148" t="inlineStr">
        <is>
          <t>Guindaste offshore</t>
        </is>
      </c>
      <c r="F148" t="inlineStr">
        <is>
          <t>Amostral</t>
        </is>
      </c>
      <c r="G148" s="8" t="n">
        <v>1753319.62</v>
      </c>
      <c r="H148" s="8" t="n">
        <v>1753319.62</v>
      </c>
      <c r="I148" s="8">
        <f>G148-H148</f>
        <v/>
      </c>
      <c r="J148" s="11">
        <f>IF(G148=0,0,MIN(1,I148/G148))</f>
        <v/>
      </c>
    </row>
    <row r="149">
      <c r="A149" t="inlineStr">
        <is>
          <t>IMB0008975</t>
        </is>
      </c>
      <c r="B149" t="inlineStr">
        <is>
          <t>Plataforma Peregrino</t>
        </is>
      </c>
      <c r="C149" t="inlineStr">
        <is>
          <t>Prio Tigris</t>
        </is>
      </c>
      <c r="D149" t="inlineStr">
        <is>
          <t>Peregrino</t>
        </is>
      </c>
      <c r="E149" t="inlineStr">
        <is>
          <t>Bomba de transferência de carga</t>
        </is>
      </c>
      <c r="F149" t="inlineStr">
        <is>
          <t>Amostral</t>
        </is>
      </c>
      <c r="G149" s="8" t="n">
        <v>231326.55</v>
      </c>
      <c r="H149" s="8" t="n">
        <v>231326.55</v>
      </c>
      <c r="I149" s="8">
        <f>G149-H149</f>
        <v/>
      </c>
      <c r="J149" s="11">
        <f>IF(G149=0,0,MIN(1,I149/G149))</f>
        <v/>
      </c>
    </row>
    <row r="150">
      <c r="A150" t="inlineStr">
        <is>
          <t>IMB0009033</t>
        </is>
      </c>
      <c r="B150" t="inlineStr">
        <is>
          <t>Plataforma Peregrino</t>
        </is>
      </c>
      <c r="C150" t="inlineStr">
        <is>
          <t>Prio Tigris</t>
        </is>
      </c>
      <c r="D150" t="inlineStr">
        <is>
          <t>Peregrino</t>
        </is>
      </c>
      <c r="E150" t="inlineStr">
        <is>
          <t>Sistema de injeção de água</t>
        </is>
      </c>
      <c r="F150" t="inlineStr">
        <is>
          <t>Amostral</t>
        </is>
      </c>
      <c r="G150" s="8" t="n">
        <v>793817.46</v>
      </c>
      <c r="H150" s="8" t="n">
        <v>793817.46</v>
      </c>
      <c r="I150" s="8">
        <f>G150-H150</f>
        <v/>
      </c>
      <c r="J150" s="11">
        <f>IF(G150=0,0,MIN(1,I150/G150))</f>
        <v/>
      </c>
    </row>
    <row r="151">
      <c r="A151" t="inlineStr">
        <is>
          <t>IMB0009106</t>
        </is>
      </c>
      <c r="B151" t="inlineStr">
        <is>
          <t>Plataforma Peregrino</t>
        </is>
      </c>
      <c r="C151" t="inlineStr">
        <is>
          <t>Prio Tigris</t>
        </is>
      </c>
      <c r="D151" t="inlineStr">
        <is>
          <t>Peregrino</t>
        </is>
      </c>
      <c r="E151" t="inlineStr">
        <is>
          <t>Módulo de acomodações</t>
        </is>
      </c>
      <c r="F151" t="inlineStr">
        <is>
          <t>Amostral</t>
        </is>
      </c>
      <c r="G151" s="8" t="n">
        <v>6070056.07</v>
      </c>
      <c r="H151" s="8" t="n">
        <v>6070056.07</v>
      </c>
      <c r="I151" s="8">
        <f>G151-H151</f>
        <v/>
      </c>
      <c r="J151" s="11">
        <f>IF(G151=0,0,MIN(1,I151/G151))</f>
        <v/>
      </c>
    </row>
    <row r="152">
      <c r="A152" t="inlineStr">
        <is>
          <t>IMB0009121</t>
        </is>
      </c>
      <c r="B152" t="inlineStr">
        <is>
          <t>Plataforma Peregrino</t>
        </is>
      </c>
      <c r="C152" t="inlineStr">
        <is>
          <t>Prio Tigris</t>
        </is>
      </c>
      <c r="D152" t="inlineStr">
        <is>
          <t>Peregrino</t>
        </is>
      </c>
      <c r="E152" t="inlineStr">
        <is>
          <t>Sistema de injeção de água</t>
        </is>
      </c>
      <c r="F152" t="inlineStr">
        <is>
          <t>Topo (&gt;= intervalo)</t>
        </is>
      </c>
      <c r="G152" s="8" t="n">
        <v>30107387.11</v>
      </c>
      <c r="H152" s="8" t="n">
        <v>30107387.11</v>
      </c>
      <c r="I152" s="8">
        <f>G152-H152</f>
        <v/>
      </c>
      <c r="J152" s="11">
        <f>IF(G152=0,0,MIN(1,I152/G152))</f>
        <v/>
      </c>
    </row>
    <row r="153">
      <c r="A153" t="inlineStr">
        <is>
          <t>IMB0009124</t>
        </is>
      </c>
      <c r="B153" t="inlineStr">
        <is>
          <t>Plataforma Peregrino</t>
        </is>
      </c>
      <c r="C153" t="inlineStr">
        <is>
          <t>Prio Tigris</t>
        </is>
      </c>
      <c r="D153" t="inlineStr">
        <is>
          <t>Peregrino</t>
        </is>
      </c>
      <c r="E153" t="inlineStr">
        <is>
          <t>Módulo de utilidades</t>
        </is>
      </c>
      <c r="F153" t="inlineStr">
        <is>
          <t>Amostral</t>
        </is>
      </c>
      <c r="G153" s="8" t="n">
        <v>946562.5600000001</v>
      </c>
      <c r="H153" s="8" t="n">
        <v>946562.5600000001</v>
      </c>
      <c r="I153" s="8">
        <f>G153-H153</f>
        <v/>
      </c>
      <c r="J153" s="11">
        <f>IF(G153=0,0,MIN(1,I153/G153))</f>
        <v/>
      </c>
    </row>
    <row r="154">
      <c r="A154" t="inlineStr">
        <is>
          <t>IMB0009181</t>
        </is>
      </c>
      <c r="B154" t="inlineStr">
        <is>
          <t>Plataforma Peregrino</t>
        </is>
      </c>
      <c r="C154" t="inlineStr">
        <is>
          <t>Prio Tigris</t>
        </is>
      </c>
      <c r="D154" t="inlineStr">
        <is>
          <t>Peregrino</t>
        </is>
      </c>
      <c r="E154" t="inlineStr">
        <is>
          <t>Sistema de medição fiscal</t>
        </is>
      </c>
      <c r="F154" t="inlineStr">
        <is>
          <t>Amostral</t>
        </is>
      </c>
      <c r="G154" s="8" t="n">
        <v>6199241.57</v>
      </c>
      <c r="H154" s="8" t="n">
        <v>6199241.57</v>
      </c>
      <c r="I154" s="8">
        <f>G154-H154</f>
        <v/>
      </c>
      <c r="J154" s="11">
        <f>IF(G154=0,0,MIN(1,I154/G154))</f>
        <v/>
      </c>
    </row>
    <row r="155">
      <c r="A155" t="inlineStr">
        <is>
          <t>IMB0009231</t>
        </is>
      </c>
      <c r="B155" t="inlineStr">
        <is>
          <t>Plataforma Peregrino</t>
        </is>
      </c>
      <c r="C155" t="inlineStr">
        <is>
          <t>Prio Tigris</t>
        </is>
      </c>
      <c r="D155" t="inlineStr">
        <is>
          <t>Peregrino</t>
        </is>
      </c>
      <c r="E155" t="inlineStr">
        <is>
          <t>Sistema de tratamento de óleo</t>
        </is>
      </c>
      <c r="F155" t="inlineStr">
        <is>
          <t>Amostral</t>
        </is>
      </c>
      <c r="G155" s="8" t="n">
        <v>4431948.1</v>
      </c>
      <c r="H155" s="8" t="n">
        <v>4431948.1</v>
      </c>
      <c r="I155" s="8">
        <f>G155-H155</f>
        <v/>
      </c>
      <c r="J155" s="11">
        <f>IF(G155=0,0,MIN(1,I155/G155))</f>
        <v/>
      </c>
    </row>
    <row r="156">
      <c r="A156" t="inlineStr">
        <is>
          <t>IMB0009293</t>
        </is>
      </c>
      <c r="B156" t="inlineStr">
        <is>
          <t>Plataforma Peregrino</t>
        </is>
      </c>
      <c r="C156" t="inlineStr">
        <is>
          <t>Prio Tigris</t>
        </is>
      </c>
      <c r="D156" t="inlineStr">
        <is>
          <t>Peregrino</t>
        </is>
      </c>
      <c r="E156" t="inlineStr">
        <is>
          <t>Turbogerador principal</t>
        </is>
      </c>
      <c r="F156" t="inlineStr">
        <is>
          <t>Amostral</t>
        </is>
      </c>
      <c r="G156" s="8" t="n">
        <v>511146.4</v>
      </c>
      <c r="H156" s="8" t="n">
        <v>511146.4</v>
      </c>
      <c r="I156" s="8">
        <f>G156-H156</f>
        <v/>
      </c>
      <c r="J156" s="11">
        <f>IF(G156=0,0,MIN(1,I156/G156))</f>
        <v/>
      </c>
    </row>
    <row r="157">
      <c r="A157" t="inlineStr">
        <is>
          <t>IMB0009397</t>
        </is>
      </c>
      <c r="B157" t="inlineStr">
        <is>
          <t>Plataforma Peregrino</t>
        </is>
      </c>
      <c r="C157" t="inlineStr">
        <is>
          <t>Prio Tigris</t>
        </is>
      </c>
      <c r="D157" t="inlineStr">
        <is>
          <t>Peregrino</t>
        </is>
      </c>
      <c r="E157" t="inlineStr">
        <is>
          <t>Módulo de utilidades</t>
        </is>
      </c>
      <c r="F157" t="inlineStr">
        <is>
          <t>Amostral</t>
        </is>
      </c>
      <c r="G157" s="8" t="n">
        <v>14999617.66</v>
      </c>
      <c r="H157" s="8" t="n">
        <v>14999617.66</v>
      </c>
      <c r="I157" s="8">
        <f>G157-H157</f>
        <v/>
      </c>
      <c r="J157" s="11">
        <f>IF(G157=0,0,MIN(1,I157/G157))</f>
        <v/>
      </c>
    </row>
    <row r="158">
      <c r="A158" t="inlineStr">
        <is>
          <t>IMB0009445</t>
        </is>
      </c>
      <c r="B158" t="inlineStr">
        <is>
          <t>Plataforma Peregrino</t>
        </is>
      </c>
      <c r="C158" t="inlineStr">
        <is>
          <t>Prio Tigris</t>
        </is>
      </c>
      <c r="D158" t="inlineStr">
        <is>
          <t>Peregrino</t>
        </is>
      </c>
      <c r="E158" t="inlineStr">
        <is>
          <t>Turret/swivel</t>
        </is>
      </c>
      <c r="F158" t="inlineStr">
        <is>
          <t>Amostral</t>
        </is>
      </c>
      <c r="G158" s="8" t="n">
        <v>2753065.48</v>
      </c>
      <c r="H158" s="8" t="n">
        <v>2753065.48</v>
      </c>
      <c r="I158" s="8">
        <f>G158-H158</f>
        <v/>
      </c>
      <c r="J158" s="11">
        <f>IF(G158=0,0,MIN(1,I158/G158))</f>
        <v/>
      </c>
    </row>
    <row r="159">
      <c r="A159" t="inlineStr">
        <is>
          <t>IMB0009476</t>
        </is>
      </c>
      <c r="B159" t="inlineStr">
        <is>
          <t>Plataforma Peregrino</t>
        </is>
      </c>
      <c r="C159" t="inlineStr">
        <is>
          <t>Prio Tigris</t>
        </is>
      </c>
      <c r="D159" t="inlineStr">
        <is>
          <t>Peregrino</t>
        </is>
      </c>
      <c r="E159" t="inlineStr">
        <is>
          <t>Turret/swivel</t>
        </is>
      </c>
      <c r="F159" t="inlineStr">
        <is>
          <t>Amostral</t>
        </is>
      </c>
      <c r="G159" s="8" t="n">
        <v>1752622.14</v>
      </c>
      <c r="H159" s="8" t="n">
        <v>1752622.14</v>
      </c>
      <c r="I159" s="8">
        <f>G159-H159</f>
        <v/>
      </c>
      <c r="J159" s="11">
        <f>IF(G159=0,0,MIN(1,I159/G159))</f>
        <v/>
      </c>
    </row>
    <row r="160">
      <c r="A160" t="inlineStr">
        <is>
          <t>IMB0009499</t>
        </is>
      </c>
      <c r="B160" t="inlineStr">
        <is>
          <t>Plataforma Peregrino</t>
        </is>
      </c>
      <c r="C160" t="inlineStr">
        <is>
          <t>Prio Tigris</t>
        </is>
      </c>
      <c r="D160" t="inlineStr">
        <is>
          <t>Peregrino</t>
        </is>
      </c>
      <c r="E160" t="inlineStr">
        <is>
          <t>Sistema de medição fiscal</t>
        </is>
      </c>
      <c r="F160" t="inlineStr">
        <is>
          <t>Amostral</t>
        </is>
      </c>
      <c r="G160" s="8" t="n">
        <v>19165513.69</v>
      </c>
      <c r="H160" s="8" t="n">
        <v>19165513.69</v>
      </c>
      <c r="I160" s="8">
        <f>G160-H160</f>
        <v/>
      </c>
      <c r="J160" s="11">
        <f>IF(G160=0,0,MIN(1,I160/G160))</f>
        <v/>
      </c>
    </row>
    <row r="161">
      <c r="A161" t="inlineStr">
        <is>
          <t>IMB0009541</t>
        </is>
      </c>
      <c r="B161" t="inlineStr">
        <is>
          <t>Plataforma Peregrino</t>
        </is>
      </c>
      <c r="C161" t="inlineStr">
        <is>
          <t>Prio Tigris</t>
        </is>
      </c>
      <c r="D161" t="inlineStr">
        <is>
          <t>Peregrino</t>
        </is>
      </c>
      <c r="E161" t="inlineStr">
        <is>
          <t>Turbogerador principal</t>
        </is>
      </c>
      <c r="F161" t="inlineStr">
        <is>
          <t>Amostral</t>
        </is>
      </c>
      <c r="G161" s="8" t="n">
        <v>254081.96</v>
      </c>
      <c r="H161" s="8" t="n">
        <v>254081.96</v>
      </c>
      <c r="I161" s="8">
        <f>G161-H161</f>
        <v/>
      </c>
      <c r="J161" s="11">
        <f>IF(G161=0,0,MIN(1,I161/G161))</f>
        <v/>
      </c>
    </row>
    <row r="162">
      <c r="A162" t="inlineStr">
        <is>
          <t>IMB0009581</t>
        </is>
      </c>
      <c r="B162" t="inlineStr">
        <is>
          <t>Plataforma Peregrino</t>
        </is>
      </c>
      <c r="C162" t="inlineStr">
        <is>
          <t>Prio Tigris</t>
        </is>
      </c>
      <c r="D162" t="inlineStr">
        <is>
          <t>Peregrino</t>
        </is>
      </c>
      <c r="E162" t="inlineStr">
        <is>
          <t>Compressor de gás</t>
        </is>
      </c>
      <c r="F162" t="inlineStr">
        <is>
          <t>Amostral</t>
        </is>
      </c>
      <c r="G162" s="8" t="n">
        <v>8225654.29</v>
      </c>
      <c r="H162" s="8" t="n">
        <v>8225654.29</v>
      </c>
      <c r="I162" s="8">
        <f>G162-H162</f>
        <v/>
      </c>
      <c r="J162" s="11">
        <f>IF(G162=0,0,MIN(1,I162/G162))</f>
        <v/>
      </c>
    </row>
    <row r="163">
      <c r="A163" t="inlineStr">
        <is>
          <t>IMB0009645</t>
        </is>
      </c>
      <c r="B163" t="inlineStr">
        <is>
          <t>Plataforma Peregrino</t>
        </is>
      </c>
      <c r="C163" t="inlineStr">
        <is>
          <t>Prio Tigris</t>
        </is>
      </c>
      <c r="D163" t="inlineStr">
        <is>
          <t>Peregrino</t>
        </is>
      </c>
      <c r="E163" t="inlineStr">
        <is>
          <t>Casco e estrutura naval</t>
        </is>
      </c>
      <c r="F163" t="inlineStr">
        <is>
          <t>Amostral</t>
        </is>
      </c>
      <c r="G163" s="8" t="n">
        <v>3621572.81</v>
      </c>
      <c r="H163" s="8" t="n">
        <v>3621572.81</v>
      </c>
      <c r="I163" s="8">
        <f>G163-H163</f>
        <v/>
      </c>
      <c r="J163" s="11">
        <f>IF(G163=0,0,MIN(1,I163/G163))</f>
        <v/>
      </c>
    </row>
    <row r="164">
      <c r="A164" t="inlineStr">
        <is>
          <t>IMB0009713</t>
        </is>
      </c>
      <c r="B164" t="inlineStr">
        <is>
          <t>Plataforma Peregrino</t>
        </is>
      </c>
      <c r="C164" t="inlineStr">
        <is>
          <t>Prio Tigris</t>
        </is>
      </c>
      <c r="D164" t="inlineStr">
        <is>
          <t>Peregrino</t>
        </is>
      </c>
      <c r="E164" t="inlineStr">
        <is>
          <t>Módulo de utilidades</t>
        </is>
      </c>
      <c r="F164" t="inlineStr">
        <is>
          <t>Amostral</t>
        </is>
      </c>
      <c r="G164" s="8" t="n">
        <v>5710645.08</v>
      </c>
      <c r="H164" s="8" t="n">
        <v>5710645.08</v>
      </c>
      <c r="I164" s="8">
        <f>G164-H164</f>
        <v/>
      </c>
      <c r="J164" s="11">
        <f>IF(G164=0,0,MIN(1,I164/G164))</f>
        <v/>
      </c>
    </row>
    <row r="165">
      <c r="A165" t="inlineStr">
        <is>
          <t>IMB0009796</t>
        </is>
      </c>
      <c r="B165" t="inlineStr">
        <is>
          <t>Plataforma Peregrino</t>
        </is>
      </c>
      <c r="C165" t="inlineStr">
        <is>
          <t>Prio Tigris</t>
        </is>
      </c>
      <c r="D165" t="inlineStr">
        <is>
          <t>Peregrino</t>
        </is>
      </c>
      <c r="E165" t="inlineStr">
        <is>
          <t>Sistema de flare</t>
        </is>
      </c>
      <c r="F165" t="inlineStr">
        <is>
          <t>Amostral</t>
        </is>
      </c>
      <c r="G165" s="8" t="n">
        <v>1879820.43</v>
      </c>
      <c r="H165" s="8" t="n">
        <v>1879820.43</v>
      </c>
      <c r="I165" s="8">
        <f>G165-H165</f>
        <v/>
      </c>
      <c r="J165" s="11">
        <f>IF(G165=0,0,MIN(1,I165/G165))</f>
        <v/>
      </c>
    </row>
    <row r="166">
      <c r="A166" t="inlineStr">
        <is>
          <t>IMB0009844</t>
        </is>
      </c>
      <c r="B166" t="inlineStr">
        <is>
          <t>Plataforma Peregrino</t>
        </is>
      </c>
      <c r="C166" t="inlineStr">
        <is>
          <t>Prio Tigris</t>
        </is>
      </c>
      <c r="D166" t="inlineStr">
        <is>
          <t>Peregrino</t>
        </is>
      </c>
      <c r="E166" t="inlineStr">
        <is>
          <t>Planta de processo - separador trifásico</t>
        </is>
      </c>
      <c r="F166" t="inlineStr">
        <is>
          <t>Amostral</t>
        </is>
      </c>
      <c r="G166" s="8" t="n">
        <v>115410.9</v>
      </c>
      <c r="H166" s="8" t="n">
        <v>115410.9</v>
      </c>
      <c r="I166" s="8">
        <f>G166-H166</f>
        <v/>
      </c>
      <c r="J166" s="11">
        <f>IF(G166=0,0,MIN(1,I166/G166))</f>
        <v/>
      </c>
    </row>
    <row r="167">
      <c r="A167" t="inlineStr">
        <is>
          <t>IMB0009897</t>
        </is>
      </c>
      <c r="B167" t="inlineStr">
        <is>
          <t>Plataforma Peregrino</t>
        </is>
      </c>
      <c r="C167" t="inlineStr">
        <is>
          <t>Prio Tigris</t>
        </is>
      </c>
      <c r="D167" t="inlineStr">
        <is>
          <t>Peregrino</t>
        </is>
      </c>
      <c r="E167" t="inlineStr">
        <is>
          <t>Trocador de calor</t>
        </is>
      </c>
      <c r="F167" t="inlineStr">
        <is>
          <t>Amostral</t>
        </is>
      </c>
      <c r="G167" s="8" t="n">
        <v>11672133.4</v>
      </c>
      <c r="H167" s="8" t="n">
        <v>11672133.4</v>
      </c>
      <c r="I167" s="8">
        <f>G167-H167</f>
        <v/>
      </c>
      <c r="J167" s="11">
        <f>IF(G167=0,0,MIN(1,I167/G167))</f>
        <v/>
      </c>
    </row>
    <row r="168">
      <c r="A168" t="inlineStr">
        <is>
          <t>IMB0009943</t>
        </is>
      </c>
      <c r="B168" t="inlineStr">
        <is>
          <t>Plataforma Peregrino</t>
        </is>
      </c>
      <c r="C168" t="inlineStr">
        <is>
          <t>Prio Tigris</t>
        </is>
      </c>
      <c r="D168" t="inlineStr">
        <is>
          <t>Peregrino</t>
        </is>
      </c>
      <c r="E168" t="inlineStr">
        <is>
          <t>Planta de processo - separador trifásico</t>
        </is>
      </c>
      <c r="F168" t="inlineStr">
        <is>
          <t>Amostral</t>
        </is>
      </c>
      <c r="G168" s="8" t="n">
        <v>3355975.87</v>
      </c>
      <c r="H168" s="8" t="n">
        <v>3355975.87</v>
      </c>
      <c r="I168" s="8">
        <f>G168-H168</f>
        <v/>
      </c>
      <c r="J168" s="11">
        <f>IF(G168=0,0,MIN(1,I168/G168))</f>
        <v/>
      </c>
    </row>
    <row r="169">
      <c r="A169" t="inlineStr">
        <is>
          <t>IMB0009999</t>
        </is>
      </c>
      <c r="B169" t="inlineStr">
        <is>
          <t>Plataforma Peregrino</t>
        </is>
      </c>
      <c r="C169" t="inlineStr">
        <is>
          <t>Prio Tigris</t>
        </is>
      </c>
      <c r="D169" t="inlineStr">
        <is>
          <t>Peregrino</t>
        </is>
      </c>
      <c r="E169" t="inlineStr">
        <is>
          <t>Sistema de flare</t>
        </is>
      </c>
      <c r="F169" t="inlineStr">
        <is>
          <t>Amostral</t>
        </is>
      </c>
      <c r="G169" s="8" t="n">
        <v>913549.99</v>
      </c>
      <c r="H169" s="8" t="n">
        <v>913549.99</v>
      </c>
      <c r="I169" s="8">
        <f>G169-H169</f>
        <v/>
      </c>
      <c r="J169" s="11">
        <f>IF(G169=0,0,MIN(1,I169/G169))</f>
        <v/>
      </c>
    </row>
    <row r="170">
      <c r="A170" t="inlineStr">
        <is>
          <t>IMB0010063</t>
        </is>
      </c>
      <c r="B170" t="inlineStr">
        <is>
          <t>Plataforma Peregrino</t>
        </is>
      </c>
      <c r="C170" t="inlineStr">
        <is>
          <t>Prio Tigris</t>
        </is>
      </c>
      <c r="D170" t="inlineStr">
        <is>
          <t>Peregrino</t>
        </is>
      </c>
      <c r="E170" t="inlineStr">
        <is>
          <t>Sistema de flare</t>
        </is>
      </c>
      <c r="F170" t="inlineStr">
        <is>
          <t>Amostral</t>
        </is>
      </c>
      <c r="G170" s="8" t="n">
        <v>3535148.78</v>
      </c>
      <c r="H170" s="8" t="n">
        <v>3535148.78</v>
      </c>
      <c r="I170" s="8">
        <f>G170-H170</f>
        <v/>
      </c>
      <c r="J170" s="11">
        <f>IF(G170=0,0,MIN(1,I170/G170))</f>
        <v/>
      </c>
    </row>
    <row r="171">
      <c r="A171" t="inlineStr">
        <is>
          <t>IMB0010120</t>
        </is>
      </c>
      <c r="B171" t="inlineStr">
        <is>
          <t>Plataforma Peregrino</t>
        </is>
      </c>
      <c r="C171" t="inlineStr">
        <is>
          <t>Prio Tigris</t>
        </is>
      </c>
      <c r="D171" t="inlineStr">
        <is>
          <t>Peregrino</t>
        </is>
      </c>
      <c r="E171" t="inlineStr">
        <is>
          <t>Turbogerador principal</t>
        </is>
      </c>
      <c r="F171" t="inlineStr">
        <is>
          <t>Amostral</t>
        </is>
      </c>
      <c r="G171" s="8" t="n">
        <v>311196.32</v>
      </c>
      <c r="H171" s="8" t="n">
        <v>311196.32</v>
      </c>
      <c r="I171" s="8">
        <f>G171-H171</f>
        <v/>
      </c>
      <c r="J171" s="11">
        <f>IF(G171=0,0,MIN(1,I171/G171))</f>
        <v/>
      </c>
    </row>
    <row r="172">
      <c r="A172" t="inlineStr">
        <is>
          <t>IMB0010141</t>
        </is>
      </c>
      <c r="B172" t="inlineStr">
        <is>
          <t>Plataforma Peregrino</t>
        </is>
      </c>
      <c r="C172" t="inlineStr">
        <is>
          <t>Prio Tigris</t>
        </is>
      </c>
      <c r="D172" t="inlineStr">
        <is>
          <t>Peregrino</t>
        </is>
      </c>
      <c r="E172" t="inlineStr">
        <is>
          <t>Guindaste offshore</t>
        </is>
      </c>
      <c r="F172" t="inlineStr">
        <is>
          <t>Amostral</t>
        </is>
      </c>
      <c r="G172" s="8" t="n">
        <v>19707503.22</v>
      </c>
      <c r="H172" s="8" t="n">
        <v>19707503.22</v>
      </c>
      <c r="I172" s="8">
        <f>G172-H172</f>
        <v/>
      </c>
      <c r="J172" s="11">
        <f>IF(G172=0,0,MIN(1,I172/G172))</f>
        <v/>
      </c>
    </row>
    <row r="173">
      <c r="A173" t="inlineStr">
        <is>
          <t>IMB0010184</t>
        </is>
      </c>
      <c r="B173" t="inlineStr">
        <is>
          <t>Plataforma Peregrino</t>
        </is>
      </c>
      <c r="C173" t="inlineStr">
        <is>
          <t>Prio Tigris</t>
        </is>
      </c>
      <c r="D173" t="inlineStr">
        <is>
          <t>Peregrino</t>
        </is>
      </c>
      <c r="E173" t="inlineStr">
        <is>
          <t>Sistema de tratamento de óleo</t>
        </is>
      </c>
      <c r="F173" t="inlineStr">
        <is>
          <t>Amostral</t>
        </is>
      </c>
      <c r="G173" s="8" t="n">
        <v>7097058.4</v>
      </c>
      <c r="H173" s="8" t="n">
        <v>7097058.4</v>
      </c>
      <c r="I173" s="8">
        <f>G173-H173</f>
        <v/>
      </c>
      <c r="J173" s="11">
        <f>IF(G173=0,0,MIN(1,I173/G173))</f>
        <v/>
      </c>
    </row>
    <row r="174">
      <c r="A174" t="inlineStr">
        <is>
          <t>IMB0010233</t>
        </is>
      </c>
      <c r="B174" t="inlineStr">
        <is>
          <t>Plataforma Peregrino</t>
        </is>
      </c>
      <c r="C174" t="inlineStr">
        <is>
          <t>Prio Tigris</t>
        </is>
      </c>
      <c r="D174" t="inlineStr">
        <is>
          <t>Peregrino</t>
        </is>
      </c>
      <c r="E174" t="inlineStr">
        <is>
          <t>Guindaste offshore</t>
        </is>
      </c>
      <c r="F174" t="inlineStr">
        <is>
          <t>Amostral</t>
        </is>
      </c>
      <c r="G174" s="8" t="n">
        <v>20680165.83</v>
      </c>
      <c r="H174" s="8" t="n">
        <v>20680165.83</v>
      </c>
      <c r="I174" s="8">
        <f>G174-H174</f>
        <v/>
      </c>
      <c r="J174" s="11">
        <f>IF(G174=0,0,MIN(1,I174/G174))</f>
        <v/>
      </c>
    </row>
    <row r="175">
      <c r="A175" t="inlineStr">
        <is>
          <t>IMB0010257</t>
        </is>
      </c>
      <c r="B175" t="inlineStr">
        <is>
          <t>Plataforma Peregrino</t>
        </is>
      </c>
      <c r="C175" t="inlineStr">
        <is>
          <t>Prio Tigris</t>
        </is>
      </c>
      <c r="D175" t="inlineStr">
        <is>
          <t>Peregrino</t>
        </is>
      </c>
      <c r="E175" t="inlineStr">
        <is>
          <t>Sistema de combate a incêndio (dilúvio)</t>
        </is>
      </c>
      <c r="F175" t="inlineStr">
        <is>
          <t>Amostral</t>
        </is>
      </c>
      <c r="G175" s="8" t="n">
        <v>568068.4</v>
      </c>
      <c r="H175" s="8" t="n">
        <v>568068.4</v>
      </c>
      <c r="I175" s="8">
        <f>G175-H175</f>
        <v/>
      </c>
      <c r="J175" s="11">
        <f>IF(G175=0,0,MIN(1,I175/G175))</f>
        <v/>
      </c>
    </row>
    <row r="176">
      <c r="A176" t="inlineStr">
        <is>
          <t>IMB0010293</t>
        </is>
      </c>
      <c r="B176" t="inlineStr">
        <is>
          <t>Plataforma Peregrino</t>
        </is>
      </c>
      <c r="C176" t="inlineStr">
        <is>
          <t>Prio Tigris</t>
        </is>
      </c>
      <c r="D176" t="inlineStr">
        <is>
          <t>Peregrino</t>
        </is>
      </c>
      <c r="E176" t="inlineStr">
        <is>
          <t>Casco e estrutura naval</t>
        </is>
      </c>
      <c r="F176" t="inlineStr">
        <is>
          <t>Amostral</t>
        </is>
      </c>
      <c r="G176" s="8" t="n">
        <v>5155548.67</v>
      </c>
      <c r="H176" s="8" t="n">
        <v>5155548.67</v>
      </c>
      <c r="I176" s="8">
        <f>G176-H176</f>
        <v/>
      </c>
      <c r="J176" s="11">
        <f>IF(G176=0,0,MIN(1,I176/G176))</f>
        <v/>
      </c>
    </row>
    <row r="177">
      <c r="A177" t="inlineStr">
        <is>
          <t>IMB0010322</t>
        </is>
      </c>
      <c r="B177" t="inlineStr">
        <is>
          <t>Plataforma Peregrino</t>
        </is>
      </c>
      <c r="C177" t="inlineStr">
        <is>
          <t>Prio Tigris</t>
        </is>
      </c>
      <c r="D177" t="inlineStr">
        <is>
          <t>Peregrino</t>
        </is>
      </c>
      <c r="E177" t="inlineStr">
        <is>
          <t>Trocador de calor</t>
        </is>
      </c>
      <c r="F177" t="inlineStr">
        <is>
          <t>Amostral</t>
        </is>
      </c>
      <c r="G177" s="8" t="n">
        <v>1629856.32</v>
      </c>
      <c r="H177" s="8" t="n">
        <v>1629856.32</v>
      </c>
      <c r="I177" s="8">
        <f>G177-H177</f>
        <v/>
      </c>
      <c r="J177" s="11">
        <f>IF(G177=0,0,MIN(1,I177/G177))</f>
        <v/>
      </c>
    </row>
    <row r="178">
      <c r="A178" t="inlineStr">
        <is>
          <t>IMB0010360</t>
        </is>
      </c>
      <c r="B178" t="inlineStr">
        <is>
          <t>Plataforma Peregrino</t>
        </is>
      </c>
      <c r="C178" t="inlineStr">
        <is>
          <t>Prio Tigris</t>
        </is>
      </c>
      <c r="D178" t="inlineStr">
        <is>
          <t>Peregrino</t>
        </is>
      </c>
      <c r="E178" t="inlineStr">
        <is>
          <t>Sistema de flare</t>
        </is>
      </c>
      <c r="F178" t="inlineStr">
        <is>
          <t>Amostral</t>
        </is>
      </c>
      <c r="G178" s="8" t="n">
        <v>3465831.32</v>
      </c>
      <c r="H178" s="8" t="n">
        <v>3465831.32</v>
      </c>
      <c r="I178" s="8">
        <f>G178-H178</f>
        <v/>
      </c>
      <c r="J178" s="11">
        <f>IF(G178=0,0,MIN(1,I178/G178))</f>
        <v/>
      </c>
    </row>
    <row r="179">
      <c r="A179" t="inlineStr">
        <is>
          <t>IMB0010421</t>
        </is>
      </c>
      <c r="B179" t="inlineStr">
        <is>
          <t>Plataforma Peregrino</t>
        </is>
      </c>
      <c r="C179" t="inlineStr">
        <is>
          <t>Prio Tigris</t>
        </is>
      </c>
      <c r="D179" t="inlineStr">
        <is>
          <t>Peregrino</t>
        </is>
      </c>
      <c r="E179" t="inlineStr">
        <is>
          <t>Tanque de carga</t>
        </is>
      </c>
      <c r="F179" t="inlineStr">
        <is>
          <t>Amostral</t>
        </is>
      </c>
      <c r="G179" s="8" t="n">
        <v>9922851.26</v>
      </c>
      <c r="H179" s="8" t="n">
        <v>9922851.26</v>
      </c>
      <c r="I179" s="8">
        <f>G179-H179</f>
        <v/>
      </c>
      <c r="J179" s="11">
        <f>IF(G179=0,0,MIN(1,I179/G179))</f>
        <v/>
      </c>
    </row>
    <row r="180">
      <c r="A180" t="inlineStr">
        <is>
          <t>IMB0010452</t>
        </is>
      </c>
      <c r="B180" t="inlineStr">
        <is>
          <t>Plataforma Peregrino</t>
        </is>
      </c>
      <c r="C180" t="inlineStr">
        <is>
          <t>Prio Tigris</t>
        </is>
      </c>
      <c r="D180" t="inlineStr">
        <is>
          <t>Peregrino</t>
        </is>
      </c>
      <c r="E180" t="inlineStr">
        <is>
          <t>Módulo de acomodações</t>
        </is>
      </c>
      <c r="F180" t="inlineStr">
        <is>
          <t>Amostral</t>
        </is>
      </c>
      <c r="G180" s="8" t="n">
        <v>189936.53</v>
      </c>
      <c r="H180" s="8" t="n">
        <v>189936.53</v>
      </c>
      <c r="I180" s="8">
        <f>G180-H180</f>
        <v/>
      </c>
      <c r="J180" s="11">
        <f>IF(G180=0,0,MIN(1,I180/G180))</f>
        <v/>
      </c>
    </row>
    <row r="181">
      <c r="A181" t="inlineStr">
        <is>
          <t>IMB0010504</t>
        </is>
      </c>
      <c r="B181" t="inlineStr">
        <is>
          <t>Plataforma Peregrino</t>
        </is>
      </c>
      <c r="C181" t="inlineStr">
        <is>
          <t>Prio Tigris</t>
        </is>
      </c>
      <c r="D181" t="inlineStr">
        <is>
          <t>Peregrino</t>
        </is>
      </c>
      <c r="E181" t="inlineStr">
        <is>
          <t>Painel elétrico de média tensão</t>
        </is>
      </c>
      <c r="F181" t="inlineStr">
        <is>
          <t>Amostral</t>
        </is>
      </c>
      <c r="G181" s="8" t="n">
        <v>304410.69</v>
      </c>
      <c r="H181" s="8" t="n">
        <v>304410.69</v>
      </c>
      <c r="I181" s="8">
        <f>G181-H181</f>
        <v/>
      </c>
      <c r="J181" s="11">
        <f>IF(G181=0,0,MIN(1,I181/G181))</f>
        <v/>
      </c>
    </row>
    <row r="182">
      <c r="A182" t="inlineStr">
        <is>
          <t>IMB0010558</t>
        </is>
      </c>
      <c r="B182" t="inlineStr">
        <is>
          <t>Plataforma Peregrino</t>
        </is>
      </c>
      <c r="C182" t="inlineStr">
        <is>
          <t>Prio Tigris</t>
        </is>
      </c>
      <c r="D182" t="inlineStr">
        <is>
          <t>Peregrino</t>
        </is>
      </c>
      <c r="E182" t="inlineStr">
        <is>
          <t>Compressor de gás</t>
        </is>
      </c>
      <c r="F182" t="inlineStr">
        <is>
          <t>Amostral</t>
        </is>
      </c>
      <c r="G182" s="8" t="n">
        <v>798132.1</v>
      </c>
      <c r="H182" s="8" t="n">
        <v>798132.1</v>
      </c>
      <c r="I182" s="8">
        <f>G182-H182</f>
        <v/>
      </c>
      <c r="J182" s="11">
        <f>IF(G182=0,0,MIN(1,I182/G182))</f>
        <v/>
      </c>
    </row>
    <row r="183">
      <c r="A183" t="inlineStr">
        <is>
          <t>IMB0010584</t>
        </is>
      </c>
      <c r="B183" t="inlineStr">
        <is>
          <t>Plataforma Peregrino</t>
        </is>
      </c>
      <c r="C183" t="inlineStr">
        <is>
          <t>Prio Tigris</t>
        </is>
      </c>
      <c r="D183" t="inlineStr">
        <is>
          <t>Peregrino</t>
        </is>
      </c>
      <c r="E183" t="inlineStr">
        <is>
          <t>Sistema de medição fiscal</t>
        </is>
      </c>
      <c r="F183" t="inlineStr">
        <is>
          <t>Amostral</t>
        </is>
      </c>
      <c r="G183" s="8" t="n">
        <v>3103346.91</v>
      </c>
      <c r="H183" s="8" t="n">
        <v>3103346.91</v>
      </c>
      <c r="I183" s="8">
        <f>G183-H183</f>
        <v/>
      </c>
      <c r="J183" s="11">
        <f>IF(G183=0,0,MIN(1,I183/G183))</f>
        <v/>
      </c>
    </row>
    <row r="184">
      <c r="A184" t="inlineStr">
        <is>
          <t>IMB0010607</t>
        </is>
      </c>
      <c r="B184" t="inlineStr">
        <is>
          <t>Plataforma Peregrino</t>
        </is>
      </c>
      <c r="C184" t="inlineStr">
        <is>
          <t>Prio Tigris</t>
        </is>
      </c>
      <c r="D184" t="inlineStr">
        <is>
          <t>Peregrino</t>
        </is>
      </c>
      <c r="E184" t="inlineStr">
        <is>
          <t>Trocador de calor</t>
        </is>
      </c>
      <c r="F184" t="inlineStr">
        <is>
          <t>Topo (&gt;= intervalo)</t>
        </is>
      </c>
      <c r="G184" s="8" t="n">
        <v>50490838.78</v>
      </c>
      <c r="H184" s="8" t="n">
        <v>50490838.78</v>
      </c>
      <c r="I184" s="8">
        <f>G184-H184</f>
        <v/>
      </c>
      <c r="J184" s="11">
        <f>IF(G184=0,0,MIN(1,I184/G184))</f>
        <v/>
      </c>
    </row>
    <row r="185">
      <c r="A185" t="inlineStr">
        <is>
          <t>IMB0010646</t>
        </is>
      </c>
      <c r="B185" t="inlineStr">
        <is>
          <t>Plataforma Peregrino</t>
        </is>
      </c>
      <c r="C185" t="inlineStr">
        <is>
          <t>Prio Tigris</t>
        </is>
      </c>
      <c r="D185" t="inlineStr">
        <is>
          <t>Peregrino</t>
        </is>
      </c>
      <c r="E185" t="inlineStr">
        <is>
          <t>Válvula de segurança (SDV)</t>
        </is>
      </c>
      <c r="F185" t="inlineStr">
        <is>
          <t>Amostral</t>
        </is>
      </c>
      <c r="G185" s="8" t="n">
        <v>789355.74</v>
      </c>
      <c r="H185" s="8" t="n">
        <v>789355.74</v>
      </c>
      <c r="I185" s="8">
        <f>G185-H185</f>
        <v/>
      </c>
      <c r="J185" s="11">
        <f>IF(G185=0,0,MIN(1,I185/G185))</f>
        <v/>
      </c>
    </row>
    <row r="186">
      <c r="A186" t="inlineStr">
        <is>
          <t>IMB0010704</t>
        </is>
      </c>
      <c r="B186" t="inlineStr">
        <is>
          <t>Plataforma Peregrino</t>
        </is>
      </c>
      <c r="C186" t="inlineStr">
        <is>
          <t>Prio Tigris</t>
        </is>
      </c>
      <c r="D186" t="inlineStr">
        <is>
          <t>Peregrino</t>
        </is>
      </c>
      <c r="E186" t="inlineStr">
        <is>
          <t>Casco e estrutura naval</t>
        </is>
      </c>
      <c r="F186" t="inlineStr">
        <is>
          <t>Amostral</t>
        </is>
      </c>
      <c r="G186" s="8" t="n">
        <v>1146777.57</v>
      </c>
      <c r="H186" s="8" t="n">
        <v>1146777.57</v>
      </c>
      <c r="I186" s="8">
        <f>G186-H186</f>
        <v/>
      </c>
      <c r="J186" s="11">
        <f>IF(G186=0,0,MIN(1,I186/G186))</f>
        <v/>
      </c>
    </row>
    <row r="187">
      <c r="A187" t="inlineStr">
        <is>
          <t>IMB0010739</t>
        </is>
      </c>
      <c r="B187" t="inlineStr">
        <is>
          <t>Plataforma Peregrino</t>
        </is>
      </c>
      <c r="C187" t="inlineStr">
        <is>
          <t>Prio Tigris</t>
        </is>
      </c>
      <c r="D187" t="inlineStr">
        <is>
          <t>Peregrino</t>
        </is>
      </c>
      <c r="E187" t="inlineStr">
        <is>
          <t>Sistema de tratamento de óleo</t>
        </is>
      </c>
      <c r="F187" t="inlineStr">
        <is>
          <t>Amostral</t>
        </is>
      </c>
      <c r="G187" s="8" t="n">
        <v>879916.6</v>
      </c>
      <c r="H187" s="8" t="n">
        <v>879916.6</v>
      </c>
      <c r="I187" s="8">
        <f>G187-H187</f>
        <v/>
      </c>
      <c r="J187" s="11">
        <f>IF(G187=0,0,MIN(1,I187/G187))</f>
        <v/>
      </c>
    </row>
    <row r="188">
      <c r="A188" t="inlineStr">
        <is>
          <t>IMB0010763</t>
        </is>
      </c>
      <c r="B188" t="inlineStr">
        <is>
          <t>Plataforma Peregrino</t>
        </is>
      </c>
      <c r="C188" t="inlineStr">
        <is>
          <t>Prio Tigris</t>
        </is>
      </c>
      <c r="D188" t="inlineStr">
        <is>
          <t>Peregrino</t>
        </is>
      </c>
      <c r="E188" t="inlineStr">
        <is>
          <t>Planta de processo - separador trifásico</t>
        </is>
      </c>
      <c r="F188" t="inlineStr">
        <is>
          <t>Amostral</t>
        </is>
      </c>
      <c r="G188" s="8" t="n">
        <v>5901035.88</v>
      </c>
      <c r="H188" s="8" t="n">
        <v>5901035.88</v>
      </c>
      <c r="I188" s="8">
        <f>G188-H188</f>
        <v/>
      </c>
      <c r="J188" s="11">
        <f>IF(G188=0,0,MIN(1,I188/G188))</f>
        <v/>
      </c>
    </row>
    <row r="189">
      <c r="A189" t="inlineStr">
        <is>
          <t>IMB0010813</t>
        </is>
      </c>
      <c r="B189" t="inlineStr">
        <is>
          <t>Plataforma Peregrino</t>
        </is>
      </c>
      <c r="C189" t="inlineStr">
        <is>
          <t>Prio Tigris</t>
        </is>
      </c>
      <c r="D189" t="inlineStr">
        <is>
          <t>Peregrino</t>
        </is>
      </c>
      <c r="E189" t="inlineStr">
        <is>
          <t>Instrumentação e automação</t>
        </is>
      </c>
      <c r="F189" t="inlineStr">
        <is>
          <t>Amostral</t>
        </is>
      </c>
      <c r="G189" s="8" t="n">
        <v>901503.11</v>
      </c>
      <c r="H189" s="8" t="n">
        <v>901503.11</v>
      </c>
      <c r="I189" s="8">
        <f>G189-H189</f>
        <v/>
      </c>
      <c r="J189" s="11">
        <f>IF(G189=0,0,MIN(1,I189/G189))</f>
        <v/>
      </c>
    </row>
    <row r="190">
      <c r="A190" t="inlineStr">
        <is>
          <t>IMB0010855</t>
        </is>
      </c>
      <c r="B190" t="inlineStr">
        <is>
          <t>Plataforma Peregrino</t>
        </is>
      </c>
      <c r="C190" t="inlineStr">
        <is>
          <t>Prio Tigris</t>
        </is>
      </c>
      <c r="D190" t="inlineStr">
        <is>
          <t>Peregrino</t>
        </is>
      </c>
      <c r="E190" t="inlineStr">
        <is>
          <t>Painel elétrico de média tensão</t>
        </is>
      </c>
      <c r="F190" t="inlineStr">
        <is>
          <t>Amostral</t>
        </is>
      </c>
      <c r="G190" s="8" t="n">
        <v>6531562.45</v>
      </c>
      <c r="H190" s="8" t="n">
        <v>6531562.45</v>
      </c>
      <c r="I190" s="8">
        <f>G190-H190</f>
        <v/>
      </c>
      <c r="J190" s="11">
        <f>IF(G190=0,0,MIN(1,I190/G190))</f>
        <v/>
      </c>
    </row>
    <row r="191">
      <c r="A191" t="inlineStr">
        <is>
          <t>IMB0010902</t>
        </is>
      </c>
      <c r="B191" t="inlineStr">
        <is>
          <t>Plataforma Peregrino</t>
        </is>
      </c>
      <c r="C191" t="inlineStr">
        <is>
          <t>Prio Tigris</t>
        </is>
      </c>
      <c r="D191" t="inlineStr">
        <is>
          <t>Peregrino</t>
        </is>
      </c>
      <c r="E191" t="inlineStr">
        <is>
          <t>Planta de processo - separador trifásico</t>
        </is>
      </c>
      <c r="F191" t="inlineStr">
        <is>
          <t>Amostral</t>
        </is>
      </c>
      <c r="G191" s="8" t="n">
        <v>12776036.47</v>
      </c>
      <c r="H191" s="8" t="n">
        <v>12776036.47</v>
      </c>
      <c r="I191" s="8">
        <f>G191-H191</f>
        <v/>
      </c>
      <c r="J191" s="11">
        <f>IF(G191=0,0,MIN(1,I191/G191))</f>
        <v/>
      </c>
    </row>
    <row r="192">
      <c r="A192" t="inlineStr">
        <is>
          <t>IMB0010925</t>
        </is>
      </c>
      <c r="B192" t="inlineStr">
        <is>
          <t>Plataforma Peregrino</t>
        </is>
      </c>
      <c r="C192" t="inlineStr">
        <is>
          <t>Prio Tigris</t>
        </is>
      </c>
      <c r="D192" t="inlineStr">
        <is>
          <t>Peregrino</t>
        </is>
      </c>
      <c r="E192" t="inlineStr">
        <is>
          <t>Instrumentação e automação</t>
        </is>
      </c>
      <c r="F192" t="inlineStr">
        <is>
          <t>Amostral</t>
        </is>
      </c>
      <c r="G192" s="8" t="n">
        <v>2661655.55</v>
      </c>
      <c r="H192" s="8" t="n">
        <v>2661655.55</v>
      </c>
      <c r="I192" s="8">
        <f>G192-H192</f>
        <v/>
      </c>
      <c r="J192" s="11">
        <f>IF(G192=0,0,MIN(1,I192/G192))</f>
        <v/>
      </c>
    </row>
    <row r="193">
      <c r="A193" t="inlineStr">
        <is>
          <t>IMB0010985</t>
        </is>
      </c>
      <c r="B193" t="inlineStr">
        <is>
          <t>Plataforma Peregrino</t>
        </is>
      </c>
      <c r="C193" t="inlineStr">
        <is>
          <t>Prio Tigris</t>
        </is>
      </c>
      <c r="D193" t="inlineStr">
        <is>
          <t>Peregrino</t>
        </is>
      </c>
      <c r="E193" t="inlineStr">
        <is>
          <t>Planta de processo - separador trifásico</t>
        </is>
      </c>
      <c r="F193" t="inlineStr">
        <is>
          <t>Amostral</t>
        </is>
      </c>
      <c r="G193" s="8" t="n">
        <v>1990814.63</v>
      </c>
      <c r="H193" s="8" t="n">
        <v>1990814.63</v>
      </c>
      <c r="I193" s="8">
        <f>G193-H193</f>
        <v/>
      </c>
      <c r="J193" s="11">
        <f>IF(G193=0,0,MIN(1,I193/G193))</f>
        <v/>
      </c>
    </row>
    <row r="194">
      <c r="A194" t="inlineStr">
        <is>
          <t>IMB0011034</t>
        </is>
      </c>
      <c r="B194" t="inlineStr">
        <is>
          <t>Plataforma Peregrino</t>
        </is>
      </c>
      <c r="C194" t="inlineStr">
        <is>
          <t>Prio Tigris</t>
        </is>
      </c>
      <c r="D194" t="inlineStr">
        <is>
          <t>Peregrino</t>
        </is>
      </c>
      <c r="E194" t="inlineStr">
        <is>
          <t>Sistema de flare</t>
        </is>
      </c>
      <c r="F194" t="inlineStr">
        <is>
          <t>Amostral</t>
        </is>
      </c>
      <c r="G194" s="8" t="n">
        <v>2549066.9</v>
      </c>
      <c r="H194" s="8" t="n">
        <v>2549066.9</v>
      </c>
      <c r="I194" s="8">
        <f>G194-H194</f>
        <v/>
      </c>
      <c r="J194" s="11">
        <f>IF(G194=0,0,MIN(1,I194/G194))</f>
        <v/>
      </c>
    </row>
    <row r="195">
      <c r="A195" t="inlineStr">
        <is>
          <t>IMB0011068</t>
        </is>
      </c>
      <c r="B195" t="inlineStr">
        <is>
          <t>Plataforma Peregrino</t>
        </is>
      </c>
      <c r="C195" t="inlineStr">
        <is>
          <t>Prio Tigris</t>
        </is>
      </c>
      <c r="D195" t="inlineStr">
        <is>
          <t>Peregrino</t>
        </is>
      </c>
      <c r="E195" t="inlineStr">
        <is>
          <t>Módulo de utilidades</t>
        </is>
      </c>
      <c r="F195" t="inlineStr">
        <is>
          <t>Amostral</t>
        </is>
      </c>
      <c r="G195" s="8" t="n">
        <v>3108425.74</v>
      </c>
      <c r="H195" s="8" t="n">
        <v>3108425.74</v>
      </c>
      <c r="I195" s="8">
        <f>G195-H195</f>
        <v/>
      </c>
      <c r="J195" s="11">
        <f>IF(G195=0,0,MIN(1,I195/G195))</f>
        <v/>
      </c>
    </row>
    <row r="196">
      <c r="A196" t="inlineStr">
        <is>
          <t>IMB0011111</t>
        </is>
      </c>
      <c r="B196" t="inlineStr">
        <is>
          <t>Plataforma Peregrino</t>
        </is>
      </c>
      <c r="C196" t="inlineStr">
        <is>
          <t>Prio Tigris</t>
        </is>
      </c>
      <c r="D196" t="inlineStr">
        <is>
          <t>Peregrino</t>
        </is>
      </c>
      <c r="E196" t="inlineStr">
        <is>
          <t>Sistema de injeção de água</t>
        </is>
      </c>
      <c r="F196" t="inlineStr">
        <is>
          <t>Amostral</t>
        </is>
      </c>
      <c r="G196" s="8" t="n">
        <v>5323013.14</v>
      </c>
      <c r="H196" s="8" t="n">
        <v>5323013.14</v>
      </c>
      <c r="I196" s="8">
        <f>G196-H196</f>
        <v/>
      </c>
      <c r="J196" s="11">
        <f>IF(G196=0,0,MIN(1,I196/G196))</f>
        <v/>
      </c>
    </row>
    <row r="197">
      <c r="A197" t="inlineStr">
        <is>
          <t>IMB0011147</t>
        </is>
      </c>
      <c r="B197" t="inlineStr">
        <is>
          <t>Plataforma Peregrino</t>
        </is>
      </c>
      <c r="C197" t="inlineStr">
        <is>
          <t>Prio Tigris</t>
        </is>
      </c>
      <c r="D197" t="inlineStr">
        <is>
          <t>Peregrino</t>
        </is>
      </c>
      <c r="E197" t="inlineStr">
        <is>
          <t>Bomba de transferência de carga</t>
        </is>
      </c>
      <c r="F197" t="inlineStr">
        <is>
          <t>Amostral</t>
        </is>
      </c>
      <c r="G197" s="8" t="n">
        <v>4964109.74</v>
      </c>
      <c r="H197" s="8" t="n">
        <v>4964109.74</v>
      </c>
      <c r="I197" s="8">
        <f>G197-H197</f>
        <v/>
      </c>
      <c r="J197" s="11">
        <f>IF(G197=0,0,MIN(1,I197/G197))</f>
        <v/>
      </c>
    </row>
    <row r="198">
      <c r="A198" t="inlineStr">
        <is>
          <t>IMB0011177</t>
        </is>
      </c>
      <c r="B198" t="inlineStr">
        <is>
          <t>Plataforma Peregrino</t>
        </is>
      </c>
      <c r="C198" t="inlineStr">
        <is>
          <t>Prio Tigris</t>
        </is>
      </c>
      <c r="D198" t="inlineStr">
        <is>
          <t>Peregrino</t>
        </is>
      </c>
      <c r="E198" t="inlineStr">
        <is>
          <t>Válvula de segurança (SDV)</t>
        </is>
      </c>
      <c r="F198" t="inlineStr">
        <is>
          <t>Amostral</t>
        </is>
      </c>
      <c r="G198" s="8" t="n">
        <v>12891512.36</v>
      </c>
      <c r="H198" s="8" t="n">
        <v>12891512.36</v>
      </c>
      <c r="I198" s="8">
        <f>G198-H198</f>
        <v/>
      </c>
      <c r="J198" s="11">
        <f>IF(G198=0,0,MIN(1,I198/G198))</f>
        <v/>
      </c>
    </row>
    <row r="199">
      <c r="A199" t="inlineStr">
        <is>
          <t>IMB0011191</t>
        </is>
      </c>
      <c r="B199" t="inlineStr">
        <is>
          <t>Plataforma Peregrino</t>
        </is>
      </c>
      <c r="C199" t="inlineStr">
        <is>
          <t>Prio Tigris</t>
        </is>
      </c>
      <c r="D199" t="inlineStr">
        <is>
          <t>Peregrino</t>
        </is>
      </c>
      <c r="E199" t="inlineStr">
        <is>
          <t>Sistema de medição fiscal</t>
        </is>
      </c>
      <c r="F199" t="inlineStr">
        <is>
          <t>Topo (&gt;= intervalo)</t>
        </is>
      </c>
      <c r="G199" s="8" t="n">
        <v>44209143.91</v>
      </c>
      <c r="H199" s="8" t="n">
        <v>44209143.91</v>
      </c>
      <c r="I199" s="8">
        <f>G199-H199</f>
        <v/>
      </c>
      <c r="J199" s="11">
        <f>IF(G199=0,0,MIN(1,I199/G199))</f>
        <v/>
      </c>
    </row>
    <row r="200">
      <c r="A200" t="inlineStr">
        <is>
          <t>IMB0011195</t>
        </is>
      </c>
      <c r="B200" t="inlineStr">
        <is>
          <t>Plataforma Peregrino</t>
        </is>
      </c>
      <c r="C200" t="inlineStr">
        <is>
          <t>Prio Tigris</t>
        </is>
      </c>
      <c r="D200" t="inlineStr">
        <is>
          <t>Peregrino</t>
        </is>
      </c>
      <c r="E200" t="inlineStr">
        <is>
          <t>Válvula de segurança (SDV)</t>
        </is>
      </c>
      <c r="F200" t="inlineStr">
        <is>
          <t>Amostral</t>
        </is>
      </c>
      <c r="G200" s="8" t="n">
        <v>4399251.6</v>
      </c>
      <c r="H200" s="8" t="n">
        <v>4399251.6</v>
      </c>
      <c r="I200" s="8">
        <f>G200-H200</f>
        <v/>
      </c>
      <c r="J200" s="11">
        <f>IF(G200=0,0,MIN(1,I200/G200))</f>
        <v/>
      </c>
    </row>
    <row r="201">
      <c r="A201" t="inlineStr">
        <is>
          <t>IMB0011240</t>
        </is>
      </c>
      <c r="B201" t="inlineStr">
        <is>
          <t>Plataforma Peregrino</t>
        </is>
      </c>
      <c r="C201" t="inlineStr">
        <is>
          <t>Prio Tigris</t>
        </is>
      </c>
      <c r="D201" t="inlineStr">
        <is>
          <t>Peregrino</t>
        </is>
      </c>
      <c r="E201" t="inlineStr">
        <is>
          <t>Casco e estrutura naval</t>
        </is>
      </c>
      <c r="F201" t="inlineStr">
        <is>
          <t>Amostral</t>
        </is>
      </c>
      <c r="G201" s="8" t="n">
        <v>1395925.4</v>
      </c>
      <c r="H201" s="8" t="n">
        <v>1395925.4</v>
      </c>
      <c r="I201" s="8">
        <f>G201-H201</f>
        <v/>
      </c>
      <c r="J201" s="11">
        <f>IF(G201=0,0,MIN(1,I201/G201))</f>
        <v/>
      </c>
    </row>
    <row r="202">
      <c r="A202" t="inlineStr">
        <is>
          <t>IMB0011303</t>
        </is>
      </c>
      <c r="B202" t="inlineStr">
        <is>
          <t>Plataforma Peregrino</t>
        </is>
      </c>
      <c r="C202" t="inlineStr">
        <is>
          <t>Prio Tigris</t>
        </is>
      </c>
      <c r="D202" t="inlineStr">
        <is>
          <t>Peregrino</t>
        </is>
      </c>
      <c r="E202" t="inlineStr">
        <is>
          <t>Guindaste offshore</t>
        </is>
      </c>
      <c r="F202" t="inlineStr">
        <is>
          <t>Amostral</t>
        </is>
      </c>
      <c r="G202" s="8" t="n">
        <v>4892347.83</v>
      </c>
      <c r="H202" s="8" t="n">
        <v>4892347.83</v>
      </c>
      <c r="I202" s="8">
        <f>G202-H202</f>
        <v/>
      </c>
      <c r="J202" s="11">
        <f>IF(G202=0,0,MIN(1,I202/G202))</f>
        <v/>
      </c>
    </row>
    <row r="203">
      <c r="A203" t="inlineStr">
        <is>
          <t>IMB0011348</t>
        </is>
      </c>
      <c r="B203" t="inlineStr">
        <is>
          <t>Plataforma Peregrino</t>
        </is>
      </c>
      <c r="C203" t="inlineStr">
        <is>
          <t>Prio Tigris</t>
        </is>
      </c>
      <c r="D203" t="inlineStr">
        <is>
          <t>Peregrino</t>
        </is>
      </c>
      <c r="E203" t="inlineStr">
        <is>
          <t>Guindaste offshore</t>
        </is>
      </c>
      <c r="F203" t="inlineStr">
        <is>
          <t>Amostral</t>
        </is>
      </c>
      <c r="G203" s="8" t="n">
        <v>2809108.08</v>
      </c>
      <c r="H203" s="8" t="n">
        <v>2809108.08</v>
      </c>
      <c r="I203" s="8">
        <f>G203-H203</f>
        <v/>
      </c>
      <c r="J203" s="11">
        <f>IF(G203=0,0,MIN(1,I203/G203))</f>
        <v/>
      </c>
    </row>
    <row r="204">
      <c r="A204" t="inlineStr">
        <is>
          <t>IMB0011402</t>
        </is>
      </c>
      <c r="B204" t="inlineStr">
        <is>
          <t>Plataforma Peregrino</t>
        </is>
      </c>
      <c r="C204" t="inlineStr">
        <is>
          <t>Prio Tigris</t>
        </is>
      </c>
      <c r="D204" t="inlineStr">
        <is>
          <t>Peregrino</t>
        </is>
      </c>
      <c r="E204" t="inlineStr">
        <is>
          <t>Bomba de transferência de carga</t>
        </is>
      </c>
      <c r="F204" t="inlineStr">
        <is>
          <t>Amostral</t>
        </is>
      </c>
      <c r="G204" s="8" t="n">
        <v>6072152.12</v>
      </c>
      <c r="H204" s="8" t="n">
        <v>6072152.12</v>
      </c>
      <c r="I204" s="8">
        <f>G204-H204</f>
        <v/>
      </c>
      <c r="J204" s="11">
        <f>IF(G204=0,0,MIN(1,I204/G204))</f>
        <v/>
      </c>
    </row>
    <row r="205">
      <c r="A205" t="inlineStr">
        <is>
          <t>IMB0011446</t>
        </is>
      </c>
      <c r="B205" t="inlineStr">
        <is>
          <t>Plataforma Peregrino</t>
        </is>
      </c>
      <c r="C205" t="inlineStr">
        <is>
          <t>Prio Tigris</t>
        </is>
      </c>
      <c r="D205" t="inlineStr">
        <is>
          <t>Peregrino</t>
        </is>
      </c>
      <c r="E205" t="inlineStr">
        <is>
          <t>Casco e estrutura naval</t>
        </is>
      </c>
      <c r="F205" t="inlineStr">
        <is>
          <t>Amostral</t>
        </is>
      </c>
      <c r="G205" s="8" t="n">
        <v>12644526.54</v>
      </c>
      <c r="H205" s="8" t="n">
        <v>12644526.54</v>
      </c>
      <c r="I205" s="8">
        <f>G205-H205</f>
        <v/>
      </c>
      <c r="J205" s="11">
        <f>IF(G205=0,0,MIN(1,I205/G205))</f>
        <v/>
      </c>
    </row>
    <row r="206">
      <c r="A206" t="inlineStr">
        <is>
          <t>IMB0011482</t>
        </is>
      </c>
      <c r="B206" t="inlineStr">
        <is>
          <t>Plataforma Peregrino</t>
        </is>
      </c>
      <c r="C206" t="inlineStr">
        <is>
          <t>Prio Tigris</t>
        </is>
      </c>
      <c r="D206" t="inlineStr">
        <is>
          <t>Peregrino</t>
        </is>
      </c>
      <c r="E206" t="inlineStr">
        <is>
          <t>Planta de processo - separador trifásico</t>
        </is>
      </c>
      <c r="F206" t="inlineStr">
        <is>
          <t>Amostral</t>
        </is>
      </c>
      <c r="G206" s="8" t="n">
        <v>6359134.9</v>
      </c>
      <c r="H206" s="8" t="n">
        <v>6359134.9</v>
      </c>
      <c r="I206" s="8">
        <f>G206-H206</f>
        <v/>
      </c>
      <c r="J206" s="11">
        <f>IF(G206=0,0,MIN(1,I206/G206))</f>
        <v/>
      </c>
    </row>
    <row r="207">
      <c r="A207" t="inlineStr">
        <is>
          <t>IMB0011628</t>
        </is>
      </c>
      <c r="B207" t="inlineStr">
        <is>
          <t>FPSO Valente - Frade</t>
        </is>
      </c>
      <c r="C207" t="inlineStr">
        <is>
          <t>Prio Forte</t>
        </is>
      </c>
      <c r="D207" t="inlineStr">
        <is>
          <t>Frade</t>
        </is>
      </c>
      <c r="E207" t="inlineStr">
        <is>
          <t>Sistema de combate a incêndio (dilúvio)</t>
        </is>
      </c>
      <c r="F207" t="inlineStr">
        <is>
          <t>Amostral</t>
        </is>
      </c>
      <c r="G207" s="8" t="n">
        <v>37558.2</v>
      </c>
      <c r="H207" s="8" t="n">
        <v>37558.2</v>
      </c>
      <c r="I207" s="8">
        <f>G207-H207</f>
        <v/>
      </c>
      <c r="J207" s="11">
        <f>IF(G207=0,0,MIN(1,I207/G207))</f>
        <v/>
      </c>
    </row>
    <row r="208">
      <c r="A208" t="inlineStr">
        <is>
          <t>IMB0011783</t>
        </is>
      </c>
      <c r="B208" t="inlineStr">
        <is>
          <t>FPSO Valente - Frade</t>
        </is>
      </c>
      <c r="C208" t="inlineStr">
        <is>
          <t>Prio Forte</t>
        </is>
      </c>
      <c r="D208" t="inlineStr">
        <is>
          <t>Frade</t>
        </is>
      </c>
      <c r="E208" t="inlineStr">
        <is>
          <t>Módulo de utilidades</t>
        </is>
      </c>
      <c r="F208" t="inlineStr">
        <is>
          <t>Amostral</t>
        </is>
      </c>
      <c r="G208" s="8" t="n">
        <v>668999.17</v>
      </c>
      <c r="H208" s="8" t="n">
        <v>668999.17</v>
      </c>
      <c r="I208" s="8">
        <f>G208-H208</f>
        <v/>
      </c>
      <c r="J208" s="11">
        <f>IF(G208=0,0,MIN(1,I208/G208))</f>
        <v/>
      </c>
    </row>
    <row r="209">
      <c r="A209" t="inlineStr">
        <is>
          <t>IMB0011991</t>
        </is>
      </c>
      <c r="B209" t="inlineStr">
        <is>
          <t>FPSO Valente - Frade</t>
        </is>
      </c>
      <c r="C209" t="inlineStr">
        <is>
          <t>Prio Forte</t>
        </is>
      </c>
      <c r="D209" t="inlineStr">
        <is>
          <t>Frade</t>
        </is>
      </c>
      <c r="E209" t="inlineStr">
        <is>
          <t>Trocador de calor</t>
        </is>
      </c>
      <c r="F209" t="inlineStr">
        <is>
          <t>Amostral</t>
        </is>
      </c>
      <c r="G209" s="8" t="n">
        <v>6041237.86</v>
      </c>
      <c r="H209" s="8" t="n">
        <v>6041237.86</v>
      </c>
      <c r="I209" s="8">
        <f>G209-H209</f>
        <v/>
      </c>
      <c r="J209" s="11">
        <f>IF(G209=0,0,MIN(1,I209/G209))</f>
        <v/>
      </c>
    </row>
    <row r="210">
      <c r="A210" t="inlineStr">
        <is>
          <t>IMB0012146</t>
        </is>
      </c>
      <c r="B210" t="inlineStr">
        <is>
          <t>FPSO Valente - Frade</t>
        </is>
      </c>
      <c r="C210" t="inlineStr">
        <is>
          <t>Prio Forte</t>
        </is>
      </c>
      <c r="D210" t="inlineStr">
        <is>
          <t>Frade</t>
        </is>
      </c>
      <c r="E210" t="inlineStr">
        <is>
          <t>Válvula de segurança (SDV)</t>
        </is>
      </c>
      <c r="F210" t="inlineStr">
        <is>
          <t>Amostral</t>
        </is>
      </c>
      <c r="G210" s="8" t="n">
        <v>723550.84</v>
      </c>
      <c r="H210" s="8" t="n">
        <v>723550.84</v>
      </c>
      <c r="I210" s="8">
        <f>G210-H210</f>
        <v/>
      </c>
      <c r="J210" s="11">
        <f>IF(G210=0,0,MIN(1,I210/G210))</f>
        <v/>
      </c>
    </row>
    <row r="211">
      <c r="A211" t="inlineStr">
        <is>
          <t>IMB0012190</t>
        </is>
      </c>
      <c r="B211" t="inlineStr">
        <is>
          <t>FPSO Valente - Frade</t>
        </is>
      </c>
      <c r="C211" t="inlineStr">
        <is>
          <t>Prio Forte</t>
        </is>
      </c>
      <c r="D211" t="inlineStr">
        <is>
          <t>Frade</t>
        </is>
      </c>
      <c r="E211" t="inlineStr">
        <is>
          <t>Painel elétrico de média tensão</t>
        </is>
      </c>
      <c r="F211" t="inlineStr">
        <is>
          <t>Topo (&gt;= intervalo)</t>
        </is>
      </c>
      <c r="G211" s="8" t="n">
        <v>31460307.63</v>
      </c>
      <c r="H211" s="8" t="n">
        <v>31460307.63</v>
      </c>
      <c r="I211" s="8">
        <f>G211-H211</f>
        <v/>
      </c>
      <c r="J211" s="11">
        <f>IF(G211=0,0,MIN(1,I211/G211))</f>
        <v/>
      </c>
    </row>
    <row r="212">
      <c r="A212" t="inlineStr">
        <is>
          <t>IMB0012257</t>
        </is>
      </c>
      <c r="B212" t="inlineStr">
        <is>
          <t>FPSO Valente - Frade</t>
        </is>
      </c>
      <c r="C212" t="inlineStr">
        <is>
          <t>Prio Bravo</t>
        </is>
      </c>
      <c r="D212" t="inlineStr">
        <is>
          <t>Frade</t>
        </is>
      </c>
      <c r="E212" t="inlineStr">
        <is>
          <t>Sistema de combate a incêndio (dilúvio)</t>
        </is>
      </c>
      <c r="F212" t="inlineStr">
        <is>
          <t>Amostral</t>
        </is>
      </c>
      <c r="G212" s="8" t="n">
        <v>175072.79</v>
      </c>
      <c r="H212" s="8" t="n">
        <v>175072.79</v>
      </c>
      <c r="I212" s="8">
        <f>G212-H212</f>
        <v/>
      </c>
      <c r="J212" s="11">
        <f>IF(G212=0,0,MIN(1,I212/G212))</f>
        <v/>
      </c>
    </row>
    <row r="213">
      <c r="A213" t="inlineStr">
        <is>
          <t>IMB0012456</t>
        </is>
      </c>
      <c r="B213" t="inlineStr">
        <is>
          <t>FPSO Valente - Frade</t>
        </is>
      </c>
      <c r="C213" t="inlineStr">
        <is>
          <t>Prio Forte</t>
        </is>
      </c>
      <c r="D213" t="inlineStr">
        <is>
          <t>Frade</t>
        </is>
      </c>
      <c r="E213" t="inlineStr">
        <is>
          <t>Turret/swivel</t>
        </is>
      </c>
      <c r="F213" t="inlineStr">
        <is>
          <t>Amostral</t>
        </is>
      </c>
      <c r="G213" s="8" t="n">
        <v>176475.31</v>
      </c>
      <c r="H213" s="8" t="n">
        <v>176475.31</v>
      </c>
      <c r="I213" s="8">
        <f>G213-H213</f>
        <v/>
      </c>
      <c r="J213" s="11">
        <f>IF(G213=0,0,MIN(1,I213/G213))</f>
        <v/>
      </c>
    </row>
    <row r="214">
      <c r="A214" t="inlineStr">
        <is>
          <t>IMB0012644</t>
        </is>
      </c>
      <c r="B214" t="inlineStr">
        <is>
          <t>FPSO Valente - Frade</t>
        </is>
      </c>
      <c r="C214" t="inlineStr">
        <is>
          <t>Prio Forte</t>
        </is>
      </c>
      <c r="D214" t="inlineStr">
        <is>
          <t>Frade</t>
        </is>
      </c>
      <c r="E214" t="inlineStr">
        <is>
          <t>Turbogerador principal</t>
        </is>
      </c>
      <c r="F214" t="inlineStr">
        <is>
          <t>Amostral</t>
        </is>
      </c>
      <c r="G214" s="8" t="n">
        <v>2634097.99</v>
      </c>
      <c r="H214" s="8" t="n">
        <v>2634097.99</v>
      </c>
      <c r="I214" s="8">
        <f>G214-H214</f>
        <v/>
      </c>
      <c r="J214" s="11">
        <f>IF(G214=0,0,MIN(1,I214/G214))</f>
        <v/>
      </c>
    </row>
    <row r="215">
      <c r="A215" t="inlineStr">
        <is>
          <t>IMB0012786</t>
        </is>
      </c>
      <c r="B215" t="inlineStr">
        <is>
          <t>FPSO Valente - Frade</t>
        </is>
      </c>
      <c r="C215" t="inlineStr">
        <is>
          <t>Prio Forte</t>
        </is>
      </c>
      <c r="D215" t="inlineStr">
        <is>
          <t>Frade</t>
        </is>
      </c>
      <c r="E215" t="inlineStr">
        <is>
          <t>Tanque de carga</t>
        </is>
      </c>
      <c r="F215" t="inlineStr">
        <is>
          <t>Amostral</t>
        </is>
      </c>
      <c r="G215" s="8" t="n">
        <v>888227.99</v>
      </c>
      <c r="H215" s="8" t="n">
        <v>888227.99</v>
      </c>
      <c r="I215" s="8">
        <f>G215-H215</f>
        <v/>
      </c>
      <c r="J215" s="11">
        <f>IF(G215=0,0,MIN(1,I215/G215))</f>
        <v/>
      </c>
    </row>
    <row r="216">
      <c r="A216" t="inlineStr">
        <is>
          <t>IMB0012909</t>
        </is>
      </c>
      <c r="B216" t="inlineStr">
        <is>
          <t>FPSO Valente - Frade</t>
        </is>
      </c>
      <c r="C216" t="inlineStr">
        <is>
          <t>Prio Forte</t>
        </is>
      </c>
      <c r="D216" t="inlineStr">
        <is>
          <t>Frade</t>
        </is>
      </c>
      <c r="E216" t="inlineStr">
        <is>
          <t>Turbogerador principal</t>
        </is>
      </c>
      <c r="F216" t="inlineStr">
        <is>
          <t>Amostral</t>
        </is>
      </c>
      <c r="G216" s="8" t="n">
        <v>551979.42</v>
      </c>
      <c r="H216" s="8" t="n">
        <v>551979.42</v>
      </c>
      <c r="I216" s="8">
        <f>G216-H216</f>
        <v/>
      </c>
      <c r="J216" s="11">
        <f>IF(G216=0,0,MIN(1,I216/G216))</f>
        <v/>
      </c>
    </row>
    <row r="217">
      <c r="A217" t="inlineStr">
        <is>
          <t>IMB0013070</t>
        </is>
      </c>
      <c r="B217" t="inlineStr">
        <is>
          <t>FPSO Valente - Frade</t>
        </is>
      </c>
      <c r="C217" t="inlineStr">
        <is>
          <t>Prio Forte</t>
        </is>
      </c>
      <c r="D217" t="inlineStr">
        <is>
          <t>Frade</t>
        </is>
      </c>
      <c r="E217" t="inlineStr">
        <is>
          <t>Tanque de carga</t>
        </is>
      </c>
      <c r="F217" t="inlineStr">
        <is>
          <t>Amostral</t>
        </is>
      </c>
      <c r="G217" s="8" t="n">
        <v>136029.9</v>
      </c>
      <c r="H217" s="8" t="n">
        <v>136029.9</v>
      </c>
      <c r="I217" s="8">
        <f>G217-H217</f>
        <v/>
      </c>
      <c r="J217" s="11">
        <f>IF(G217=0,0,MIN(1,I217/G217))</f>
        <v/>
      </c>
    </row>
    <row r="218">
      <c r="A218" t="inlineStr">
        <is>
          <t>IMB0013137</t>
        </is>
      </c>
      <c r="B218" t="inlineStr">
        <is>
          <t>FPSO Valente - Frade</t>
        </is>
      </c>
      <c r="C218" t="inlineStr">
        <is>
          <t>Prio Forte</t>
        </is>
      </c>
      <c r="D218" t="inlineStr">
        <is>
          <t>Frade</t>
        </is>
      </c>
      <c r="E218" t="inlineStr">
        <is>
          <t>Sistema de flare</t>
        </is>
      </c>
      <c r="F218" t="inlineStr">
        <is>
          <t>Amostral</t>
        </is>
      </c>
      <c r="G218" s="8" t="n">
        <v>21199918.76</v>
      </c>
      <c r="H218" s="8" t="n">
        <v>21199918.76</v>
      </c>
      <c r="I218" s="8">
        <f>G218-H218</f>
        <v/>
      </c>
      <c r="J218" s="11">
        <f>IF(G218=0,0,MIN(1,I218/G218))</f>
        <v/>
      </c>
    </row>
    <row r="219">
      <c r="A219" t="inlineStr">
        <is>
          <t>IMB0013258</t>
        </is>
      </c>
      <c r="B219" t="inlineStr">
        <is>
          <t>FPSO Valente - Frade</t>
        </is>
      </c>
      <c r="C219" t="inlineStr">
        <is>
          <t>Prio Bravo</t>
        </is>
      </c>
      <c r="D219" t="inlineStr">
        <is>
          <t>Frade</t>
        </is>
      </c>
      <c r="E219" t="inlineStr">
        <is>
          <t>Trocador de calor</t>
        </is>
      </c>
      <c r="F219" t="inlineStr">
        <is>
          <t>Amostral</t>
        </is>
      </c>
      <c r="G219" s="8" t="n">
        <v>5225486.82</v>
      </c>
      <c r="H219" s="8" t="n">
        <v>5225486.82</v>
      </c>
      <c r="I219" s="8">
        <f>G219-H219</f>
        <v/>
      </c>
      <c r="J219" s="11">
        <f>IF(G219=0,0,MIN(1,I219/G219))</f>
        <v/>
      </c>
    </row>
    <row r="220">
      <c r="A220" t="inlineStr">
        <is>
          <t>IMB0013415</t>
        </is>
      </c>
      <c r="B220" t="inlineStr">
        <is>
          <t>FPSO Valente - Frade</t>
        </is>
      </c>
      <c r="C220" t="inlineStr">
        <is>
          <t>Prio Forte</t>
        </is>
      </c>
      <c r="D220" t="inlineStr">
        <is>
          <t>Frade</t>
        </is>
      </c>
      <c r="E220" t="inlineStr">
        <is>
          <t>Turbogerador principal</t>
        </is>
      </c>
      <c r="F220" t="inlineStr">
        <is>
          <t>Amostral</t>
        </is>
      </c>
      <c r="G220" s="8" t="n">
        <v>676042.71</v>
      </c>
      <c r="H220" s="8" t="n">
        <v>676042.71</v>
      </c>
      <c r="I220" s="8">
        <f>G220-H220</f>
        <v/>
      </c>
      <c r="J220" s="11">
        <f>IF(G220=0,0,MIN(1,I220/G220))</f>
        <v/>
      </c>
    </row>
    <row r="221">
      <c r="A221" t="inlineStr">
        <is>
          <t>IMB0013605</t>
        </is>
      </c>
      <c r="B221" t="inlineStr">
        <is>
          <t>FPSO Valente - Frade</t>
        </is>
      </c>
      <c r="C221" t="inlineStr">
        <is>
          <t>Prio Forte</t>
        </is>
      </c>
      <c r="D221" t="inlineStr">
        <is>
          <t>Frade</t>
        </is>
      </c>
      <c r="E221" t="inlineStr">
        <is>
          <t>Instrumentação e automação</t>
        </is>
      </c>
      <c r="F221" t="inlineStr">
        <is>
          <t>Amostral</t>
        </is>
      </c>
      <c r="G221" s="8" t="n">
        <v>637532.34</v>
      </c>
      <c r="H221" s="8" t="n">
        <v>637532.34</v>
      </c>
      <c r="I221" s="8">
        <f>G221-H221</f>
        <v/>
      </c>
      <c r="J221" s="11">
        <f>IF(G221=0,0,MIN(1,I221/G221))</f>
        <v/>
      </c>
    </row>
    <row r="222">
      <c r="A222" t="inlineStr">
        <is>
          <t>IMB0013772</t>
        </is>
      </c>
      <c r="B222" t="inlineStr">
        <is>
          <t>FPSO Valente - Frade</t>
        </is>
      </c>
      <c r="C222" t="inlineStr">
        <is>
          <t>Prio Forte</t>
        </is>
      </c>
      <c r="D222" t="inlineStr">
        <is>
          <t>Frade</t>
        </is>
      </c>
      <c r="E222" t="inlineStr">
        <is>
          <t>Casco e estrutura naval</t>
        </is>
      </c>
      <c r="F222" t="inlineStr">
        <is>
          <t>Amostral</t>
        </is>
      </c>
      <c r="G222" s="8" t="n">
        <v>496130.91</v>
      </c>
      <c r="H222" s="8" t="n">
        <v>496130.91</v>
      </c>
      <c r="I222" s="8">
        <f>G222-H222</f>
        <v/>
      </c>
      <c r="J222" s="11">
        <f>IF(G222=0,0,MIN(1,I222/G222))</f>
        <v/>
      </c>
    </row>
    <row r="223">
      <c r="A223" t="inlineStr">
        <is>
          <t>IMB0013955</t>
        </is>
      </c>
      <c r="B223" t="inlineStr">
        <is>
          <t>FPSO Valente - Frade</t>
        </is>
      </c>
      <c r="C223" t="inlineStr">
        <is>
          <t>Prio Forte</t>
        </is>
      </c>
      <c r="D223" t="inlineStr">
        <is>
          <t>Frade</t>
        </is>
      </c>
      <c r="E223" t="inlineStr">
        <is>
          <t>Turret/swivel</t>
        </is>
      </c>
      <c r="F223" t="inlineStr">
        <is>
          <t>Amostral</t>
        </is>
      </c>
      <c r="G223" s="8" t="n">
        <v>1281887</v>
      </c>
      <c r="H223" s="8" t="n">
        <v>1281887</v>
      </c>
      <c r="I223" s="8">
        <f>G223-H223</f>
        <v/>
      </c>
      <c r="J223" s="11">
        <f>IF(G223=0,0,MIN(1,I223/G223))</f>
        <v/>
      </c>
    </row>
    <row r="224">
      <c r="A224" t="inlineStr">
        <is>
          <t>IMB0014139</t>
        </is>
      </c>
      <c r="B224" t="inlineStr">
        <is>
          <t>FPSO Valente - Frade</t>
        </is>
      </c>
      <c r="C224" t="inlineStr">
        <is>
          <t>Prio Forte</t>
        </is>
      </c>
      <c r="D224" t="inlineStr">
        <is>
          <t>Frade</t>
        </is>
      </c>
      <c r="E224" t="inlineStr">
        <is>
          <t>Módulo de utilidades</t>
        </is>
      </c>
      <c r="F224" t="inlineStr">
        <is>
          <t>Amostral</t>
        </is>
      </c>
      <c r="G224" s="8" t="n">
        <v>101219.75</v>
      </c>
      <c r="H224" s="8" t="n">
        <v>101219.75</v>
      </c>
      <c r="I224" s="8">
        <f>G224-H224</f>
        <v/>
      </c>
      <c r="J224" s="11">
        <f>IF(G224=0,0,MIN(1,I224/G224))</f>
        <v/>
      </c>
    </row>
    <row r="225">
      <c r="A225" t="inlineStr">
        <is>
          <t>IMB0014403</t>
        </is>
      </c>
      <c r="B225" t="inlineStr">
        <is>
          <t>FPSO Valente - Frade</t>
        </is>
      </c>
      <c r="C225" t="inlineStr">
        <is>
          <t>Prio Forte</t>
        </is>
      </c>
      <c r="D225" t="inlineStr">
        <is>
          <t>Frade</t>
        </is>
      </c>
      <c r="E225" t="inlineStr">
        <is>
          <t>Casco e estrutura naval</t>
        </is>
      </c>
      <c r="F225" t="inlineStr">
        <is>
          <t>Amostral</t>
        </is>
      </c>
      <c r="G225" s="8" t="n">
        <v>2095030.35</v>
      </c>
      <c r="H225" s="8" t="n">
        <v>2095030.35</v>
      </c>
      <c r="I225" s="8">
        <f>G225-H225</f>
        <v/>
      </c>
      <c r="J225" s="11">
        <f>IF(G225=0,0,MIN(1,I225/G225))</f>
        <v/>
      </c>
    </row>
    <row r="226">
      <c r="A226" t="inlineStr">
        <is>
          <t>IMB0014561</t>
        </is>
      </c>
      <c r="B226" t="inlineStr">
        <is>
          <t>FPSO Valente - Frade</t>
        </is>
      </c>
      <c r="C226" t="inlineStr">
        <is>
          <t>Prio Bravo</t>
        </is>
      </c>
      <c r="D226" t="inlineStr">
        <is>
          <t>Frade</t>
        </is>
      </c>
      <c r="E226" t="inlineStr">
        <is>
          <t>Sistema de ancoragem - linha</t>
        </is>
      </c>
      <c r="F226" t="inlineStr">
        <is>
          <t>Amostral</t>
        </is>
      </c>
      <c r="G226" s="8" t="n">
        <v>3318926.68</v>
      </c>
      <c r="H226" s="8" t="n">
        <v>3318926.68</v>
      </c>
      <c r="I226" s="8">
        <f>G226-H226</f>
        <v/>
      </c>
      <c r="J226" s="11">
        <f>IF(G226=0,0,MIN(1,I226/G226))</f>
        <v/>
      </c>
    </row>
    <row r="227">
      <c r="A227" t="inlineStr">
        <is>
          <t>IMB0014720</t>
        </is>
      </c>
      <c r="B227" t="inlineStr">
        <is>
          <t>FPSO Valente - Frade</t>
        </is>
      </c>
      <c r="C227" t="inlineStr">
        <is>
          <t>Prio Forte</t>
        </is>
      </c>
      <c r="D227" t="inlineStr">
        <is>
          <t>Frade</t>
        </is>
      </c>
      <c r="E227" t="inlineStr">
        <is>
          <t>Válvula de segurança (SDV)</t>
        </is>
      </c>
      <c r="F227" t="inlineStr">
        <is>
          <t>Amostral</t>
        </is>
      </c>
      <c r="G227" s="8" t="n">
        <v>253458.11</v>
      </c>
      <c r="H227" s="8" t="n">
        <v>253458.11</v>
      </c>
      <c r="I227" s="8">
        <f>G227-H227</f>
        <v/>
      </c>
      <c r="J227" s="11">
        <f>IF(G227=0,0,MIN(1,I227/G227))</f>
        <v/>
      </c>
    </row>
    <row r="228">
      <c r="A228" t="inlineStr">
        <is>
          <t>IMB0014929</t>
        </is>
      </c>
      <c r="B228" t="inlineStr">
        <is>
          <t>FPSO Valente - Frade</t>
        </is>
      </c>
      <c r="C228" t="inlineStr">
        <is>
          <t>Prio Bravo</t>
        </is>
      </c>
      <c r="D228" t="inlineStr">
        <is>
          <t>Frade</t>
        </is>
      </c>
      <c r="E228" t="inlineStr">
        <is>
          <t>Sistema de tratamento de óleo</t>
        </is>
      </c>
      <c r="F228" t="inlineStr">
        <is>
          <t>Amostral</t>
        </is>
      </c>
      <c r="G228" s="8" t="n">
        <v>138348.92</v>
      </c>
      <c r="H228" s="8" t="n">
        <v>138348.92</v>
      </c>
      <c r="I228" s="8">
        <f>G228-H228</f>
        <v/>
      </c>
      <c r="J228" s="11">
        <f>IF(G228=0,0,MIN(1,I228/G228))</f>
        <v/>
      </c>
    </row>
    <row r="229">
      <c r="A229" t="inlineStr">
        <is>
          <t>IMB0015094</t>
        </is>
      </c>
      <c r="B229" t="inlineStr">
        <is>
          <t>FPSO Valente - Frade</t>
        </is>
      </c>
      <c r="C229" t="inlineStr">
        <is>
          <t>Prio Forte</t>
        </is>
      </c>
      <c r="D229" t="inlineStr">
        <is>
          <t>Frade</t>
        </is>
      </c>
      <c r="E229" t="inlineStr">
        <is>
          <t>Instrumentação e automação</t>
        </is>
      </c>
      <c r="F229" t="inlineStr">
        <is>
          <t>Amostral</t>
        </is>
      </c>
      <c r="G229" s="8" t="n">
        <v>925896.6800000001</v>
      </c>
      <c r="H229" s="8" t="n">
        <v>925896.6800000001</v>
      </c>
      <c r="I229" s="8">
        <f>G229-H229</f>
        <v/>
      </c>
      <c r="J229" s="11">
        <f>IF(G229=0,0,MIN(1,I229/G229))</f>
        <v/>
      </c>
    </row>
    <row r="230">
      <c r="A230" t="inlineStr">
        <is>
          <t>IMB0015285</t>
        </is>
      </c>
      <c r="B230" t="inlineStr">
        <is>
          <t>FPSO Valente - Frade</t>
        </is>
      </c>
      <c r="C230" t="inlineStr">
        <is>
          <t>Prio Forte</t>
        </is>
      </c>
      <c r="D230" t="inlineStr">
        <is>
          <t>Frade</t>
        </is>
      </c>
      <c r="E230" t="inlineStr">
        <is>
          <t>Painel elétrico de média tensão</t>
        </is>
      </c>
      <c r="F230" t="inlineStr">
        <is>
          <t>Amostral</t>
        </is>
      </c>
      <c r="G230" s="8" t="n">
        <v>2076678.41</v>
      </c>
      <c r="H230" s="8" t="n">
        <v>2076678.41</v>
      </c>
      <c r="I230" s="8">
        <f>G230-H230</f>
        <v/>
      </c>
      <c r="J230" s="11">
        <f>IF(G230=0,0,MIN(1,I230/G230))</f>
        <v/>
      </c>
    </row>
    <row r="231">
      <c r="A231" t="inlineStr">
        <is>
          <t>IMB0015466</t>
        </is>
      </c>
      <c r="B231" t="inlineStr">
        <is>
          <t>FPSO Valente - Frade</t>
        </is>
      </c>
      <c r="C231" t="inlineStr">
        <is>
          <t>Prio Forte</t>
        </is>
      </c>
      <c r="D231" t="inlineStr">
        <is>
          <t>Frade</t>
        </is>
      </c>
      <c r="E231" t="inlineStr">
        <is>
          <t>Módulo de utilidades</t>
        </is>
      </c>
      <c r="F231" t="inlineStr">
        <is>
          <t>Amostral</t>
        </is>
      </c>
      <c r="G231" s="8" t="n">
        <v>234982.64</v>
      </c>
      <c r="H231" s="8" t="n">
        <v>234982.64</v>
      </c>
      <c r="I231" s="8">
        <f>G231-H231</f>
        <v/>
      </c>
      <c r="J231" s="11">
        <f>IF(G231=0,0,MIN(1,I231/G231))</f>
        <v/>
      </c>
    </row>
    <row r="232">
      <c r="A232" t="inlineStr">
        <is>
          <t>IMB0015663</t>
        </is>
      </c>
      <c r="B232" t="inlineStr">
        <is>
          <t>FPSO Valente - Frade</t>
        </is>
      </c>
      <c r="C232" t="inlineStr">
        <is>
          <t>Prio Forte</t>
        </is>
      </c>
      <c r="D232" t="inlineStr">
        <is>
          <t>Frade</t>
        </is>
      </c>
      <c r="E232" t="inlineStr">
        <is>
          <t>Turret/swivel</t>
        </is>
      </c>
      <c r="F232" t="inlineStr">
        <is>
          <t>Amostral</t>
        </is>
      </c>
      <c r="G232" s="8" t="n">
        <v>669881.8</v>
      </c>
      <c r="H232" s="8" t="n">
        <v>669881.8</v>
      </c>
      <c r="I232" s="8">
        <f>G232-H232</f>
        <v/>
      </c>
      <c r="J232" s="11">
        <f>IF(G232=0,0,MIN(1,I232/G232))</f>
        <v/>
      </c>
    </row>
    <row r="233">
      <c r="A233" t="inlineStr">
        <is>
          <t>IMB0015857</t>
        </is>
      </c>
      <c r="B233" t="inlineStr">
        <is>
          <t>FPSO Valente - Frade</t>
        </is>
      </c>
      <c r="C233" t="inlineStr">
        <is>
          <t>Prio Bravo</t>
        </is>
      </c>
      <c r="D233" t="inlineStr">
        <is>
          <t>Frade</t>
        </is>
      </c>
      <c r="E233" t="inlineStr">
        <is>
          <t>Guindaste offshore</t>
        </is>
      </c>
      <c r="F233" t="inlineStr">
        <is>
          <t>Amostral</t>
        </is>
      </c>
      <c r="G233" s="8" t="n">
        <v>109015.51</v>
      </c>
      <c r="H233" s="8" t="n">
        <v>109015.51</v>
      </c>
      <c r="I233" s="8">
        <f>G233-H233</f>
        <v/>
      </c>
      <c r="J233" s="11">
        <f>IF(G233=0,0,MIN(1,I233/G233))</f>
        <v/>
      </c>
    </row>
    <row r="234">
      <c r="A234" t="inlineStr">
        <is>
          <t>IMB0015973</t>
        </is>
      </c>
      <c r="B234" t="inlineStr">
        <is>
          <t>FPSO Valente - Frade</t>
        </is>
      </c>
      <c r="C234" t="inlineStr">
        <is>
          <t>Prio Forte</t>
        </is>
      </c>
      <c r="D234" t="inlineStr">
        <is>
          <t>Frade</t>
        </is>
      </c>
      <c r="E234" t="inlineStr">
        <is>
          <t>Trocador de calor</t>
        </is>
      </c>
      <c r="F234" t="inlineStr">
        <is>
          <t>Amostral</t>
        </is>
      </c>
      <c r="G234" s="8" t="n">
        <v>209933.54</v>
      </c>
      <c r="H234" s="8" t="n">
        <v>209933.54</v>
      </c>
      <c r="I234" s="8">
        <f>G234-H234</f>
        <v/>
      </c>
      <c r="J234" s="11">
        <f>IF(G234=0,0,MIN(1,I234/G234))</f>
        <v/>
      </c>
    </row>
    <row r="235">
      <c r="A235" t="inlineStr">
        <is>
          <t>IMB0016010</t>
        </is>
      </c>
      <c r="B235" t="inlineStr">
        <is>
          <t>FPSO Valente - Frade</t>
        </is>
      </c>
      <c r="C235" t="inlineStr">
        <is>
          <t>Prio Forte</t>
        </is>
      </c>
      <c r="D235" t="inlineStr">
        <is>
          <t>Frade</t>
        </is>
      </c>
      <c r="E235" t="inlineStr">
        <is>
          <t>Bomba de transferência de carga</t>
        </is>
      </c>
      <c r="F235" t="inlineStr">
        <is>
          <t>Amostral</t>
        </is>
      </c>
      <c r="G235" s="8" t="n">
        <v>976663.1</v>
      </c>
      <c r="H235" s="8" t="n">
        <v>976663.1</v>
      </c>
      <c r="I235" s="8">
        <f>G235-H235</f>
        <v/>
      </c>
      <c r="J235" s="11">
        <f>IF(G235=0,0,MIN(1,I235/G235))</f>
        <v/>
      </c>
    </row>
    <row r="236">
      <c r="A236" t="inlineStr">
        <is>
          <t>IMB0016176</t>
        </is>
      </c>
      <c r="B236" t="inlineStr">
        <is>
          <t>FPSO Valente - Frade</t>
        </is>
      </c>
      <c r="C236" t="inlineStr">
        <is>
          <t>Prio Forte</t>
        </is>
      </c>
      <c r="D236" t="inlineStr">
        <is>
          <t>Frade</t>
        </is>
      </c>
      <c r="E236" t="inlineStr">
        <is>
          <t>Trocador de calor</t>
        </is>
      </c>
      <c r="F236" t="inlineStr">
        <is>
          <t>Amostral</t>
        </is>
      </c>
      <c r="G236" s="8" t="n">
        <v>1369241.65</v>
      </c>
      <c r="H236" s="8" t="n">
        <v>1369241.65</v>
      </c>
      <c r="I236" s="8">
        <f>G236-H236</f>
        <v/>
      </c>
      <c r="J236" s="11">
        <f>IF(G236=0,0,MIN(1,I236/G236))</f>
        <v/>
      </c>
    </row>
    <row r="237">
      <c r="A237" t="inlineStr">
        <is>
          <t>IMB0016320</t>
        </is>
      </c>
      <c r="B237" t="inlineStr">
        <is>
          <t>FPSO Valente - Frade</t>
        </is>
      </c>
      <c r="C237" t="inlineStr">
        <is>
          <t>Prio Forte</t>
        </is>
      </c>
      <c r="D237" t="inlineStr">
        <is>
          <t>Frade</t>
        </is>
      </c>
      <c r="E237" t="inlineStr">
        <is>
          <t>Compressor de gás</t>
        </is>
      </c>
      <c r="F237" t="inlineStr">
        <is>
          <t>Amostral</t>
        </is>
      </c>
      <c r="G237" s="8" t="n">
        <v>117731.81</v>
      </c>
      <c r="H237" s="8" t="n">
        <v>117731.81</v>
      </c>
      <c r="I237" s="8">
        <f>G237-H237</f>
        <v/>
      </c>
      <c r="J237" s="11">
        <f>IF(G237=0,0,MIN(1,I237/G237))</f>
        <v/>
      </c>
    </row>
    <row r="238">
      <c r="A238" t="inlineStr">
        <is>
          <t>IMB0016499</t>
        </is>
      </c>
      <c r="B238" t="inlineStr">
        <is>
          <t>FPSO Valente - Frade</t>
        </is>
      </c>
      <c r="C238" t="inlineStr">
        <is>
          <t>Prio Forte</t>
        </is>
      </c>
      <c r="D238" t="inlineStr">
        <is>
          <t>Frade</t>
        </is>
      </c>
      <c r="E238" t="inlineStr">
        <is>
          <t>Módulo de utilidades</t>
        </is>
      </c>
      <c r="F238" t="inlineStr">
        <is>
          <t>Amostral</t>
        </is>
      </c>
      <c r="G238" s="8" t="n">
        <v>1525554.9</v>
      </c>
      <c r="H238" s="8" t="n">
        <v>1525554.9</v>
      </c>
      <c r="I238" s="8">
        <f>G238-H238</f>
        <v/>
      </c>
      <c r="J238" s="11">
        <f>IF(G238=0,0,MIN(1,I238/G238))</f>
        <v/>
      </c>
    </row>
    <row r="239">
      <c r="A239" t="inlineStr">
        <is>
          <t>IMB0016701</t>
        </is>
      </c>
      <c r="B239" t="inlineStr">
        <is>
          <t>FPSO Valente - Frade</t>
        </is>
      </c>
      <c r="C239" t="inlineStr">
        <is>
          <t>Prio Forte</t>
        </is>
      </c>
      <c r="D239" t="inlineStr">
        <is>
          <t>Frade</t>
        </is>
      </c>
      <c r="E239" t="inlineStr">
        <is>
          <t>Sistema de combate a incêndio (dilúvio)</t>
        </is>
      </c>
      <c r="F239" t="inlineStr">
        <is>
          <t>Amostral</t>
        </is>
      </c>
      <c r="G239" s="8" t="n">
        <v>24254139.34</v>
      </c>
      <c r="H239" s="8" t="n">
        <v>24254139.34</v>
      </c>
      <c r="I239" s="8">
        <f>G239-H239</f>
        <v/>
      </c>
      <c r="J239" s="11">
        <f>IF(G239=0,0,MIN(1,I239/G239))</f>
        <v/>
      </c>
    </row>
    <row r="240">
      <c r="A240" t="inlineStr">
        <is>
          <t>IMB0016732</t>
        </is>
      </c>
      <c r="B240" t="inlineStr">
        <is>
          <t>FPSO Valente - Frade</t>
        </is>
      </c>
      <c r="C240" t="inlineStr">
        <is>
          <t>Prio Bravo</t>
        </is>
      </c>
      <c r="D240" t="inlineStr">
        <is>
          <t>Frade</t>
        </is>
      </c>
      <c r="E240" t="inlineStr">
        <is>
          <t>Bomba de transferência de carga</t>
        </is>
      </c>
      <c r="F240" t="inlineStr">
        <is>
          <t>Amostral</t>
        </is>
      </c>
      <c r="G240" s="8" t="n">
        <v>1070635.05</v>
      </c>
      <c r="H240" s="8" t="n">
        <v>1070635.05</v>
      </c>
      <c r="I240" s="8">
        <f>G240-H240</f>
        <v/>
      </c>
      <c r="J240" s="11">
        <f>IF(G240=0,0,MIN(1,I240/G240))</f>
        <v/>
      </c>
    </row>
    <row r="241">
      <c r="A241" t="inlineStr">
        <is>
          <t>IMB0016849</t>
        </is>
      </c>
      <c r="B241" t="inlineStr">
        <is>
          <t>FPSO Valente - Frade</t>
        </is>
      </c>
      <c r="C241" t="inlineStr">
        <is>
          <t>Prio Forte</t>
        </is>
      </c>
      <c r="D241" t="inlineStr">
        <is>
          <t>Frade</t>
        </is>
      </c>
      <c r="E241" t="inlineStr">
        <is>
          <t>Válvula de segurança (SDV)</t>
        </is>
      </c>
      <c r="F241" t="inlineStr">
        <is>
          <t>Amostral</t>
        </is>
      </c>
      <c r="G241" s="8" t="n">
        <v>18471.55</v>
      </c>
      <c r="H241" s="8" t="n">
        <v>18471.55</v>
      </c>
      <c r="I241" s="8">
        <f>G241-H241</f>
        <v/>
      </c>
      <c r="J241" s="11">
        <f>IF(G241=0,0,MIN(1,I241/G241))</f>
        <v/>
      </c>
    </row>
    <row r="242">
      <c r="A242" t="inlineStr">
        <is>
          <t>IMB0017070</t>
        </is>
      </c>
      <c r="B242" t="inlineStr">
        <is>
          <t>FPSO Valente - Frade</t>
        </is>
      </c>
      <c r="C242" t="inlineStr">
        <is>
          <t>Prio Forte</t>
        </is>
      </c>
      <c r="D242" t="inlineStr">
        <is>
          <t>Frade</t>
        </is>
      </c>
      <c r="E242" t="inlineStr">
        <is>
          <t>Sistema de medição fiscal</t>
        </is>
      </c>
      <c r="F242" t="inlineStr">
        <is>
          <t>Amostral</t>
        </is>
      </c>
      <c r="G242" s="8" t="n">
        <v>11898.55</v>
      </c>
      <c r="H242" s="8" t="n">
        <v>11898.55</v>
      </c>
      <c r="I242" s="8">
        <f>G242-H242</f>
        <v/>
      </c>
      <c r="J242" s="11">
        <f>IF(G242=0,0,MIN(1,I242/G242))</f>
        <v/>
      </c>
    </row>
    <row r="243">
      <c r="A243" t="inlineStr">
        <is>
          <t>IMB0017251</t>
        </is>
      </c>
      <c r="B243" t="inlineStr">
        <is>
          <t>FPSO Valente - Frade</t>
        </is>
      </c>
      <c r="C243" t="inlineStr">
        <is>
          <t>Prio Forte</t>
        </is>
      </c>
      <c r="D243" t="inlineStr">
        <is>
          <t>Frade</t>
        </is>
      </c>
      <c r="E243" t="inlineStr">
        <is>
          <t>Guindaste offshore</t>
        </is>
      </c>
      <c r="F243" t="inlineStr">
        <is>
          <t>Topo (&gt;= intervalo)</t>
        </is>
      </c>
      <c r="G243" s="8" t="n">
        <v>31170470.67</v>
      </c>
      <c r="H243" s="8" t="n">
        <v>31170470.67</v>
      </c>
      <c r="I243" s="8">
        <f>G243-H243</f>
        <v/>
      </c>
      <c r="J243" s="11">
        <f>IF(G243=0,0,MIN(1,I243/G243))</f>
        <v/>
      </c>
    </row>
    <row r="244">
      <c r="A244" t="inlineStr">
        <is>
          <t>IMB0017274</t>
        </is>
      </c>
      <c r="B244" t="inlineStr">
        <is>
          <t>FPSO Valente - Frade</t>
        </is>
      </c>
      <c r="C244" t="inlineStr">
        <is>
          <t>Prio Forte</t>
        </is>
      </c>
      <c r="D244" t="inlineStr">
        <is>
          <t>Frade</t>
        </is>
      </c>
      <c r="E244" t="inlineStr">
        <is>
          <t>Módulo de acomodações</t>
        </is>
      </c>
      <c r="F244" t="inlineStr">
        <is>
          <t>Amostral</t>
        </is>
      </c>
      <c r="G244" s="8" t="n">
        <v>97535.06</v>
      </c>
      <c r="H244" s="8" t="n">
        <v>97535.06</v>
      </c>
      <c r="I244" s="8">
        <f>G244-H244</f>
        <v/>
      </c>
      <c r="J244" s="11">
        <f>IF(G244=0,0,MIN(1,I244/G244))</f>
        <v/>
      </c>
    </row>
    <row r="245">
      <c r="A245" t="inlineStr">
        <is>
          <t>IMB0017462</t>
        </is>
      </c>
      <c r="B245" t="inlineStr">
        <is>
          <t>FPSO Valente - Frade</t>
        </is>
      </c>
      <c r="C245" t="inlineStr">
        <is>
          <t>Prio Forte</t>
        </is>
      </c>
      <c r="D245" t="inlineStr">
        <is>
          <t>Frade</t>
        </is>
      </c>
      <c r="E245" t="inlineStr">
        <is>
          <t>Sistema de combate a incêndio (dilúvio)</t>
        </is>
      </c>
      <c r="F245" t="inlineStr">
        <is>
          <t>Amostral</t>
        </is>
      </c>
      <c r="G245" s="8" t="n">
        <v>294938.59</v>
      </c>
      <c r="H245" s="8" t="n">
        <v>294938.59</v>
      </c>
      <c r="I245" s="8">
        <f>G245-H245</f>
        <v/>
      </c>
      <c r="J245" s="11">
        <f>IF(G245=0,0,MIN(1,I245/G245))</f>
        <v/>
      </c>
    </row>
    <row r="246">
      <c r="A246" t="inlineStr">
        <is>
          <t>IMB0017601</t>
        </is>
      </c>
      <c r="B246" t="inlineStr">
        <is>
          <t>FPSO Bravo - Tubarão Martelo</t>
        </is>
      </c>
      <c r="C246" t="inlineStr">
        <is>
          <t>Prio Bravo</t>
        </is>
      </c>
      <c r="D246" t="inlineStr">
        <is>
          <t>Polvo &amp; TBMT</t>
        </is>
      </c>
      <c r="E246" t="inlineStr">
        <is>
          <t>Sistema de tratamento de óleo</t>
        </is>
      </c>
      <c r="F246" t="inlineStr">
        <is>
          <t>Amostral</t>
        </is>
      </c>
      <c r="G246" s="8" t="n">
        <v>607339.0699999999</v>
      </c>
      <c r="H246" s="8" t="n">
        <v>607339.0699999999</v>
      </c>
      <c r="I246" s="8">
        <f>G246-H246</f>
        <v/>
      </c>
      <c r="J246" s="11">
        <f>IF(G246=0,0,MIN(1,I246/G246))</f>
        <v/>
      </c>
    </row>
    <row r="247">
      <c r="A247" t="inlineStr">
        <is>
          <t>IMB0017828</t>
        </is>
      </c>
      <c r="B247" t="inlineStr">
        <is>
          <t>FPSO Bravo - Tubarão Martelo</t>
        </is>
      </c>
      <c r="C247" t="inlineStr">
        <is>
          <t>Prio Bravo</t>
        </is>
      </c>
      <c r="D247" t="inlineStr">
        <is>
          <t>Polvo &amp; TBMT</t>
        </is>
      </c>
      <c r="E247" t="inlineStr">
        <is>
          <t>Painel elétrico de média tensão</t>
        </is>
      </c>
      <c r="F247" t="inlineStr">
        <is>
          <t>Amostral</t>
        </is>
      </c>
      <c r="G247" s="8" t="n">
        <v>916202.41</v>
      </c>
      <c r="H247" s="8" t="n">
        <v>916202.41</v>
      </c>
      <c r="I247" s="8">
        <f>G247-H247</f>
        <v/>
      </c>
      <c r="J247" s="11">
        <f>IF(G247=0,0,MIN(1,I247/G247))</f>
        <v/>
      </c>
    </row>
    <row r="248">
      <c r="A248" t="inlineStr">
        <is>
          <t>IMB0018102</t>
        </is>
      </c>
      <c r="B248" t="inlineStr">
        <is>
          <t>FPSO Bravo - Tubarão Martelo</t>
        </is>
      </c>
      <c r="C248" t="inlineStr">
        <is>
          <t>Prio Bravo</t>
        </is>
      </c>
      <c r="D248" t="inlineStr">
        <is>
          <t>Polvo &amp; TBMT</t>
        </is>
      </c>
      <c r="E248" t="inlineStr">
        <is>
          <t>Compressor de gás</t>
        </is>
      </c>
      <c r="F248" t="inlineStr">
        <is>
          <t>Amostral</t>
        </is>
      </c>
      <c r="G248" s="8" t="n">
        <v>2125423.57</v>
      </c>
      <c r="H248" s="8" t="n">
        <v>2125423.57</v>
      </c>
      <c r="I248" s="8">
        <f>G248-H248</f>
        <v/>
      </c>
      <c r="J248" s="11">
        <f>IF(G248=0,0,MIN(1,I248/G248))</f>
        <v/>
      </c>
    </row>
    <row r="249">
      <c r="A249" t="inlineStr">
        <is>
          <t>IMB0018299</t>
        </is>
      </c>
      <c r="B249" t="inlineStr">
        <is>
          <t>FPSO Bravo - Tubarão Martelo</t>
        </is>
      </c>
      <c r="C249" t="inlineStr">
        <is>
          <t>Prio Bravo</t>
        </is>
      </c>
      <c r="D249" t="inlineStr">
        <is>
          <t>Polvo &amp; TBMT</t>
        </is>
      </c>
      <c r="E249" t="inlineStr">
        <is>
          <t>Bomba de transferência de carga</t>
        </is>
      </c>
      <c r="F249" t="inlineStr">
        <is>
          <t>Amostral</t>
        </is>
      </c>
      <c r="G249" s="8" t="n">
        <v>4767063</v>
      </c>
      <c r="H249" s="8" t="n">
        <v>4767063</v>
      </c>
      <c r="I249" s="8">
        <f>G249-H249</f>
        <v/>
      </c>
      <c r="J249" s="11">
        <f>IF(G249=0,0,MIN(1,I249/G249))</f>
        <v/>
      </c>
    </row>
    <row r="250">
      <c r="A250" t="inlineStr">
        <is>
          <t>IMB0018452</t>
        </is>
      </c>
      <c r="B250" t="inlineStr">
        <is>
          <t>FPSO Bravo - Tubarão Martelo</t>
        </is>
      </c>
      <c r="C250" t="inlineStr">
        <is>
          <t>Prio Bravo</t>
        </is>
      </c>
      <c r="D250" t="inlineStr">
        <is>
          <t>Polvo &amp; TBMT</t>
        </is>
      </c>
      <c r="E250" t="inlineStr">
        <is>
          <t>Sistema de tratamento de óleo</t>
        </is>
      </c>
      <c r="F250" t="inlineStr">
        <is>
          <t>Amostral</t>
        </is>
      </c>
      <c r="G250" s="8" t="n">
        <v>3610141.87</v>
      </c>
      <c r="H250" s="8" t="n">
        <v>3610141.87</v>
      </c>
      <c r="I250" s="8">
        <f>G250-H250</f>
        <v/>
      </c>
      <c r="J250" s="11">
        <f>IF(G250=0,0,MIN(1,I250/G250))</f>
        <v/>
      </c>
    </row>
    <row r="251">
      <c r="A251" t="inlineStr">
        <is>
          <t>IMB0018646</t>
        </is>
      </c>
      <c r="B251" t="inlineStr">
        <is>
          <t>FPSO Bravo - Tubarão Martelo</t>
        </is>
      </c>
      <c r="C251" t="inlineStr">
        <is>
          <t>Prio Bravo</t>
        </is>
      </c>
      <c r="D251" t="inlineStr">
        <is>
          <t>Polvo &amp; TBMT</t>
        </is>
      </c>
      <c r="E251" t="inlineStr">
        <is>
          <t>Módulo de acomodações</t>
        </is>
      </c>
      <c r="F251" t="inlineStr">
        <is>
          <t>Amostral</t>
        </is>
      </c>
      <c r="G251" s="8" t="n">
        <v>613289.52</v>
      </c>
      <c r="H251" s="8" t="n">
        <v>613289.52</v>
      </c>
      <c r="I251" s="8">
        <f>G251-H251</f>
        <v/>
      </c>
      <c r="J251" s="11">
        <f>IF(G251=0,0,MIN(1,I251/G251))</f>
        <v/>
      </c>
    </row>
    <row r="252">
      <c r="A252" t="inlineStr">
        <is>
          <t>IMB0018846</t>
        </is>
      </c>
      <c r="B252" t="inlineStr">
        <is>
          <t>FPSO Bravo - Tubarão Martelo</t>
        </is>
      </c>
      <c r="C252" t="inlineStr">
        <is>
          <t>Prio Bravo</t>
        </is>
      </c>
      <c r="D252" t="inlineStr">
        <is>
          <t>Polvo &amp; TBMT</t>
        </is>
      </c>
      <c r="E252" t="inlineStr">
        <is>
          <t>Módulo de utilidades</t>
        </is>
      </c>
      <c r="F252" t="inlineStr">
        <is>
          <t>Amostral</t>
        </is>
      </c>
      <c r="G252" s="8" t="n">
        <v>573337.2</v>
      </c>
      <c r="H252" s="8" t="n">
        <v>573337.2</v>
      </c>
      <c r="I252" s="8">
        <f>G252-H252</f>
        <v/>
      </c>
      <c r="J252" s="11">
        <f>IF(G252=0,0,MIN(1,I252/G252))</f>
        <v/>
      </c>
    </row>
    <row r="253">
      <c r="A253" t="inlineStr">
        <is>
          <t>IMB0019106</t>
        </is>
      </c>
      <c r="B253" t="inlineStr">
        <is>
          <t>FPSO Bravo - Tubarão Martelo</t>
        </is>
      </c>
      <c r="C253" t="inlineStr">
        <is>
          <t>Prio Bravo</t>
        </is>
      </c>
      <c r="D253" t="inlineStr">
        <is>
          <t>Polvo &amp; TBMT</t>
        </is>
      </c>
      <c r="E253" t="inlineStr">
        <is>
          <t>Sistema de ancoragem - linha</t>
        </is>
      </c>
      <c r="F253" t="inlineStr">
        <is>
          <t>Amostral</t>
        </is>
      </c>
      <c r="G253" s="8" t="n">
        <v>73442.86</v>
      </c>
      <c r="H253" s="8" t="n">
        <v>73442.86</v>
      </c>
      <c r="I253" s="8">
        <f>G253-H253</f>
        <v/>
      </c>
      <c r="J253" s="11">
        <f>IF(G253=0,0,MIN(1,I253/G253))</f>
        <v/>
      </c>
    </row>
    <row r="254">
      <c r="A254" t="inlineStr">
        <is>
          <t>IMB0019325</t>
        </is>
      </c>
      <c r="B254" t="inlineStr">
        <is>
          <t>FPSO Bravo - Tubarão Martelo</t>
        </is>
      </c>
      <c r="C254" t="inlineStr">
        <is>
          <t>Prio Bravo</t>
        </is>
      </c>
      <c r="D254" t="inlineStr">
        <is>
          <t>Polvo &amp; TBMT</t>
        </is>
      </c>
      <c r="E254" t="inlineStr">
        <is>
          <t>Bomba de transferência de carga</t>
        </is>
      </c>
      <c r="F254" t="inlineStr">
        <is>
          <t>Amostral</t>
        </is>
      </c>
      <c r="G254" s="8" t="n">
        <v>96044.53</v>
      </c>
      <c r="H254" s="8" t="n">
        <v>96044.53</v>
      </c>
      <c r="I254" s="8">
        <f>G254-H254</f>
        <v/>
      </c>
      <c r="J254" s="11">
        <f>IF(G254=0,0,MIN(1,I254/G254))</f>
        <v/>
      </c>
    </row>
    <row r="255">
      <c r="A255" t="inlineStr">
        <is>
          <t>IMB0019545</t>
        </is>
      </c>
      <c r="B255" t="inlineStr">
        <is>
          <t>FPSO Bravo - Tubarão Martelo</t>
        </is>
      </c>
      <c r="C255" t="inlineStr">
        <is>
          <t>Prio Bravo</t>
        </is>
      </c>
      <c r="D255" t="inlineStr">
        <is>
          <t>Polvo &amp; TBMT</t>
        </is>
      </c>
      <c r="E255" t="inlineStr">
        <is>
          <t>Módulo de utilidades</t>
        </is>
      </c>
      <c r="F255" t="inlineStr">
        <is>
          <t>Amostral</t>
        </is>
      </c>
      <c r="G255" s="8" t="n">
        <v>879678.9</v>
      </c>
      <c r="H255" s="8" t="n">
        <v>879678.9</v>
      </c>
      <c r="I255" s="8">
        <f>G255-H255</f>
        <v/>
      </c>
      <c r="J255" s="11">
        <f>IF(G255=0,0,MIN(1,I255/G255))</f>
        <v/>
      </c>
    </row>
    <row r="256">
      <c r="A256" t="inlineStr">
        <is>
          <t>IMB0019622</t>
        </is>
      </c>
      <c r="B256" t="inlineStr">
        <is>
          <t>FPSO Bravo - Tubarão Martelo</t>
        </is>
      </c>
      <c r="C256" t="inlineStr">
        <is>
          <t>Prio Bravo</t>
        </is>
      </c>
      <c r="D256" t="inlineStr">
        <is>
          <t>Polvo &amp; TBMT</t>
        </is>
      </c>
      <c r="E256" t="inlineStr">
        <is>
          <t>Tanque de carga</t>
        </is>
      </c>
      <c r="F256" t="inlineStr">
        <is>
          <t>Amostral</t>
        </is>
      </c>
      <c r="G256" s="8" t="n">
        <v>260447.46</v>
      </c>
      <c r="H256" s="8" t="n">
        <v>260447.46</v>
      </c>
      <c r="I256" s="8">
        <f>G256-H256</f>
        <v/>
      </c>
      <c r="J256" s="11">
        <f>IF(G256=0,0,MIN(1,I256/G256))</f>
        <v/>
      </c>
    </row>
    <row r="257">
      <c r="A257" t="inlineStr">
        <is>
          <t>IMB0019772</t>
        </is>
      </c>
      <c r="B257" t="inlineStr">
        <is>
          <t>FPSO Bravo - Tubarão Martelo</t>
        </is>
      </c>
      <c r="C257" t="inlineStr">
        <is>
          <t>Prio Bravo</t>
        </is>
      </c>
      <c r="D257" t="inlineStr">
        <is>
          <t>Polvo &amp; TBMT</t>
        </is>
      </c>
      <c r="E257" t="inlineStr">
        <is>
          <t>Guindaste offshore</t>
        </is>
      </c>
      <c r="F257" t="inlineStr">
        <is>
          <t>Amostral</t>
        </is>
      </c>
      <c r="G257" s="8" t="n">
        <v>185304.38</v>
      </c>
      <c r="H257" s="8" t="n">
        <v>185304.38</v>
      </c>
      <c r="I257" s="8">
        <f>G257-H257</f>
        <v/>
      </c>
      <c r="J257" s="11">
        <f>IF(G257=0,0,MIN(1,I257/G257))</f>
        <v/>
      </c>
    </row>
    <row r="258">
      <c r="A258" t="inlineStr">
        <is>
          <t>IMB0019977</t>
        </is>
      </c>
      <c r="B258" t="inlineStr">
        <is>
          <t>FPSO Bravo - Tubarão Martelo</t>
        </is>
      </c>
      <c r="C258" t="inlineStr">
        <is>
          <t>Prio Bravo</t>
        </is>
      </c>
      <c r="D258" t="inlineStr">
        <is>
          <t>Polvo &amp; TBMT</t>
        </is>
      </c>
      <c r="E258" t="inlineStr">
        <is>
          <t>Instrumentação e automação</t>
        </is>
      </c>
      <c r="F258" t="inlineStr">
        <is>
          <t>Amostral</t>
        </is>
      </c>
      <c r="G258" s="8" t="n">
        <v>92817.94</v>
      </c>
      <c r="H258" s="8" t="n">
        <v>92817.94</v>
      </c>
      <c r="I258" s="8">
        <f>G258-H258</f>
        <v/>
      </c>
      <c r="J258" s="11">
        <f>IF(G258=0,0,MIN(1,I258/G258))</f>
        <v/>
      </c>
    </row>
    <row r="259">
      <c r="A259" t="inlineStr">
        <is>
          <t>IMB0020249</t>
        </is>
      </c>
      <c r="B259" t="inlineStr">
        <is>
          <t>FPSO Bravo - Tubarão Martelo</t>
        </is>
      </c>
      <c r="C259" t="inlineStr">
        <is>
          <t>Prio Bravo</t>
        </is>
      </c>
      <c r="D259" t="inlineStr">
        <is>
          <t>Polvo &amp; TBMT</t>
        </is>
      </c>
      <c r="E259" t="inlineStr">
        <is>
          <t>Módulo de acomodações</t>
        </is>
      </c>
      <c r="F259" t="inlineStr">
        <is>
          <t>Amostral</t>
        </is>
      </c>
      <c r="G259" s="8" t="n">
        <v>802361.16</v>
      </c>
      <c r="H259" s="8" t="n">
        <v>802361.16</v>
      </c>
      <c r="I259" s="8">
        <f>G259-H259</f>
        <v/>
      </c>
      <c r="J259" s="11">
        <f>IF(G259=0,0,MIN(1,I259/G259))</f>
        <v/>
      </c>
    </row>
    <row r="260">
      <c r="A260" t="inlineStr">
        <is>
          <t>IMB0020528</t>
        </is>
      </c>
      <c r="B260" t="inlineStr">
        <is>
          <t>FPSO Bravo - Tubarão Martelo</t>
        </is>
      </c>
      <c r="C260" t="inlineStr">
        <is>
          <t>Prio Bravo</t>
        </is>
      </c>
      <c r="D260" t="inlineStr">
        <is>
          <t>Polvo &amp; TBMT</t>
        </is>
      </c>
      <c r="E260" t="inlineStr">
        <is>
          <t>Painel elétrico de média tensão</t>
        </is>
      </c>
      <c r="F260" t="inlineStr">
        <is>
          <t>Amostral</t>
        </is>
      </c>
      <c r="G260" s="8" t="n">
        <v>310419.4</v>
      </c>
      <c r="H260" s="8" t="n">
        <v>310419.4</v>
      </c>
      <c r="I260" s="8">
        <f>G260-H260</f>
        <v/>
      </c>
      <c r="J260" s="11">
        <f>IF(G260=0,0,MIN(1,I260/G260))</f>
        <v/>
      </c>
    </row>
    <row r="261">
      <c r="A261" t="inlineStr">
        <is>
          <t>IMB0020766</t>
        </is>
      </c>
      <c r="B261" t="inlineStr">
        <is>
          <t>FPSO Bravo - Tubarão Martelo</t>
        </is>
      </c>
      <c r="C261" t="inlineStr">
        <is>
          <t>Prio Bravo</t>
        </is>
      </c>
      <c r="D261" t="inlineStr">
        <is>
          <t>Polvo &amp; TBMT</t>
        </is>
      </c>
      <c r="E261" t="inlineStr">
        <is>
          <t>Planta de processo - separador trifásico</t>
        </is>
      </c>
      <c r="F261" t="inlineStr">
        <is>
          <t>Amostral</t>
        </is>
      </c>
      <c r="G261" s="8" t="n">
        <v>237236.48</v>
      </c>
      <c r="H261" s="8" t="n">
        <v>237236.48</v>
      </c>
      <c r="I261" s="8">
        <f>G261-H261</f>
        <v/>
      </c>
      <c r="J261" s="11">
        <f>IF(G261=0,0,MIN(1,I261/G261))</f>
        <v/>
      </c>
    </row>
    <row r="262">
      <c r="A262" t="inlineStr">
        <is>
          <t>IMB0021007</t>
        </is>
      </c>
      <c r="B262" t="inlineStr">
        <is>
          <t>FPSO Bravo - Tubarão Martelo</t>
        </is>
      </c>
      <c r="C262" t="inlineStr">
        <is>
          <t>Prio Bravo</t>
        </is>
      </c>
      <c r="D262" t="inlineStr">
        <is>
          <t>Polvo &amp; TBMT</t>
        </is>
      </c>
      <c r="E262" t="inlineStr">
        <is>
          <t>Planta de processo - separador trifásico</t>
        </is>
      </c>
      <c r="F262" t="inlineStr">
        <is>
          <t>Amostral</t>
        </is>
      </c>
      <c r="G262" s="8" t="n">
        <v>804674.9399999999</v>
      </c>
      <c r="H262" s="8" t="n">
        <v>804674.9399999999</v>
      </c>
      <c r="I262" s="8">
        <f>G262-H262</f>
        <v/>
      </c>
      <c r="J262" s="11">
        <f>IF(G262=0,0,MIN(1,I262/G262))</f>
        <v/>
      </c>
    </row>
    <row r="263">
      <c r="A263" t="inlineStr">
        <is>
          <t>IMB0021194</t>
        </is>
      </c>
      <c r="B263" t="inlineStr">
        <is>
          <t>FPSO Bravo - Tubarão Martelo</t>
        </is>
      </c>
      <c r="C263" t="inlineStr">
        <is>
          <t>Prio Bravo</t>
        </is>
      </c>
      <c r="D263" t="inlineStr">
        <is>
          <t>Polvo &amp; TBMT</t>
        </is>
      </c>
      <c r="E263" t="inlineStr">
        <is>
          <t>Instrumentação e automação</t>
        </is>
      </c>
      <c r="F263" t="inlineStr">
        <is>
          <t>Amostral</t>
        </is>
      </c>
      <c r="G263" s="8" t="n">
        <v>365330.27</v>
      </c>
      <c r="H263" s="8" t="n">
        <v>365330.27</v>
      </c>
      <c r="I263" s="8">
        <f>G263-H263</f>
        <v/>
      </c>
      <c r="J263" s="11">
        <f>IF(G263=0,0,MIN(1,I263/G263))</f>
        <v/>
      </c>
    </row>
    <row r="264">
      <c r="A264" t="inlineStr">
        <is>
          <t>IMB0021381</t>
        </is>
      </c>
      <c r="B264" t="inlineStr">
        <is>
          <t>FPSO Bravo - Tubarão Martelo</t>
        </is>
      </c>
      <c r="C264" t="inlineStr">
        <is>
          <t>Prio Bravo</t>
        </is>
      </c>
      <c r="D264" t="inlineStr">
        <is>
          <t>Polvo &amp; TBMT</t>
        </is>
      </c>
      <c r="E264" t="inlineStr">
        <is>
          <t>Sistema de ancoragem - linha</t>
        </is>
      </c>
      <c r="F264" t="inlineStr">
        <is>
          <t>Amostral</t>
        </is>
      </c>
      <c r="G264" s="8" t="n">
        <v>8090538.17</v>
      </c>
      <c r="H264" s="8" t="n">
        <v>8090538.17</v>
      </c>
      <c r="I264" s="8">
        <f>G264-H264</f>
        <v/>
      </c>
      <c r="J264" s="11">
        <f>IF(G264=0,0,MIN(1,I264/G264))</f>
        <v/>
      </c>
    </row>
    <row r="265">
      <c r="A265" t="inlineStr">
        <is>
          <t>IMB0021562</t>
        </is>
      </c>
      <c r="B265" t="inlineStr">
        <is>
          <t>FPSO Forte - Albacora Leste</t>
        </is>
      </c>
      <c r="C265" t="inlineStr">
        <is>
          <t>Prio Forte</t>
        </is>
      </c>
      <c r="D265" t="inlineStr">
        <is>
          <t>Albacora Leste</t>
        </is>
      </c>
      <c r="E265" t="inlineStr">
        <is>
          <t>Painel elétrico de média tensão</t>
        </is>
      </c>
      <c r="F265" t="inlineStr">
        <is>
          <t>Amostral</t>
        </is>
      </c>
      <c r="G265" s="8" t="n">
        <v>225934.25</v>
      </c>
      <c r="H265" s="8" t="n">
        <v>225934.25</v>
      </c>
      <c r="I265" s="8">
        <f>G265-H265</f>
        <v/>
      </c>
      <c r="J265" s="11">
        <f>IF(G265=0,0,MIN(1,I265/G265))</f>
        <v/>
      </c>
    </row>
    <row r="266">
      <c r="A266" t="inlineStr">
        <is>
          <t>IMB0021629</t>
        </is>
      </c>
      <c r="B266" t="inlineStr">
        <is>
          <t>FPSO Forte - Albacora Leste</t>
        </is>
      </c>
      <c r="C266" t="inlineStr">
        <is>
          <t>Prio Forte</t>
        </is>
      </c>
      <c r="D266" t="inlineStr">
        <is>
          <t>Albacora Leste</t>
        </is>
      </c>
      <c r="E266" t="inlineStr">
        <is>
          <t>Válvula de segurança (SDV)</t>
        </is>
      </c>
      <c r="F266" t="inlineStr">
        <is>
          <t>Amostral</t>
        </is>
      </c>
      <c r="G266" s="8" t="n">
        <v>1591370.17</v>
      </c>
      <c r="H266" s="8" t="n">
        <v>1591370.17</v>
      </c>
      <c r="I266" s="8">
        <f>G266-H266</f>
        <v/>
      </c>
      <c r="J266" s="11">
        <f>IF(G266=0,0,MIN(1,I266/G266))</f>
        <v/>
      </c>
    </row>
    <row r="267">
      <c r="A267" t="inlineStr">
        <is>
          <t>IMB0021755</t>
        </is>
      </c>
      <c r="B267" t="inlineStr">
        <is>
          <t>FPSO Forte - Albacora Leste</t>
        </is>
      </c>
      <c r="C267" t="inlineStr">
        <is>
          <t>Prio Forte</t>
        </is>
      </c>
      <c r="D267" t="inlineStr">
        <is>
          <t>Albacora Leste</t>
        </is>
      </c>
      <c r="E267" t="inlineStr">
        <is>
          <t>Trocador de calor</t>
        </is>
      </c>
      <c r="F267" t="inlineStr">
        <is>
          <t>Amostral</t>
        </is>
      </c>
      <c r="G267" s="8" t="n">
        <v>1021351.98</v>
      </c>
      <c r="H267" s="8" t="n">
        <v>1021351.98</v>
      </c>
      <c r="I267" s="8">
        <f>G267-H267</f>
        <v/>
      </c>
      <c r="J267" s="11">
        <f>IF(G267=0,0,MIN(1,I267/G267))</f>
        <v/>
      </c>
    </row>
    <row r="268">
      <c r="A268" t="inlineStr">
        <is>
          <t>IMB0021854</t>
        </is>
      </c>
      <c r="B268" t="inlineStr">
        <is>
          <t>FPSO Forte - Albacora Leste</t>
        </is>
      </c>
      <c r="C268" t="inlineStr">
        <is>
          <t>Prio Forte</t>
        </is>
      </c>
      <c r="D268" t="inlineStr">
        <is>
          <t>Albacora Leste</t>
        </is>
      </c>
      <c r="E268" t="inlineStr">
        <is>
          <t>Casco e estrutura naval</t>
        </is>
      </c>
      <c r="F268" t="inlineStr">
        <is>
          <t>Amostral</t>
        </is>
      </c>
      <c r="G268" s="8" t="n">
        <v>753598.35</v>
      </c>
      <c r="H268" s="8" t="n">
        <v>753598.35</v>
      </c>
      <c r="I268" s="8">
        <f>G268-H268</f>
        <v/>
      </c>
      <c r="J268" s="11">
        <f>IF(G268=0,0,MIN(1,I268/G268))</f>
        <v/>
      </c>
    </row>
    <row r="269">
      <c r="A269" t="inlineStr">
        <is>
          <t>IMB0021958</t>
        </is>
      </c>
      <c r="B269" t="inlineStr">
        <is>
          <t>FPSO Forte - Albacora Leste</t>
        </is>
      </c>
      <c r="C269" t="inlineStr">
        <is>
          <t>Prio Forte</t>
        </is>
      </c>
      <c r="D269" t="inlineStr">
        <is>
          <t>Albacora Leste</t>
        </is>
      </c>
      <c r="E269" t="inlineStr">
        <is>
          <t>Casco e estrutura naval</t>
        </is>
      </c>
      <c r="F269" t="inlineStr">
        <is>
          <t>Amostral</t>
        </is>
      </c>
      <c r="G269" s="8" t="n">
        <v>1032308.99</v>
      </c>
      <c r="H269" s="8" t="n">
        <v>1032308.99</v>
      </c>
      <c r="I269" s="8">
        <f>G269-H269</f>
        <v/>
      </c>
      <c r="J269" s="11">
        <f>IF(G269=0,0,MIN(1,I269/G269))</f>
        <v/>
      </c>
    </row>
    <row r="270">
      <c r="A270" t="inlineStr">
        <is>
          <t>IMB0022067</t>
        </is>
      </c>
      <c r="B270" t="inlineStr">
        <is>
          <t>FPSO Forte - Albacora Leste</t>
        </is>
      </c>
      <c r="C270" t="inlineStr">
        <is>
          <t>Prio Forte</t>
        </is>
      </c>
      <c r="D270" t="inlineStr">
        <is>
          <t>Albacora Leste</t>
        </is>
      </c>
      <c r="E270" t="inlineStr">
        <is>
          <t>Turret/swivel</t>
        </is>
      </c>
      <c r="F270" t="inlineStr">
        <is>
          <t>Amostral</t>
        </is>
      </c>
      <c r="G270" s="8" t="n">
        <v>857298.85</v>
      </c>
      <c r="H270" s="8" t="n">
        <v>857298.85</v>
      </c>
      <c r="I270" s="8">
        <f>G270-H270</f>
        <v/>
      </c>
      <c r="J270" s="11">
        <f>IF(G270=0,0,MIN(1,I270/G270))</f>
        <v/>
      </c>
    </row>
    <row r="271">
      <c r="A271" t="inlineStr">
        <is>
          <t>IMB0022120</t>
        </is>
      </c>
      <c r="B271" t="inlineStr">
        <is>
          <t>FPSO Forte - Albacora Leste</t>
        </is>
      </c>
      <c r="C271" t="inlineStr">
        <is>
          <t>Prio Forte</t>
        </is>
      </c>
      <c r="D271" t="inlineStr">
        <is>
          <t>Albacora Leste</t>
        </is>
      </c>
      <c r="E271" t="inlineStr">
        <is>
          <t>Casco e estrutura naval</t>
        </is>
      </c>
      <c r="F271" t="inlineStr">
        <is>
          <t>Amostral</t>
        </is>
      </c>
      <c r="G271" s="8" t="n">
        <v>172444.68</v>
      </c>
      <c r="H271" s="8" t="n">
        <v>172444.68</v>
      </c>
      <c r="I271" s="8">
        <f>G271-H271</f>
        <v/>
      </c>
      <c r="J271" s="11">
        <f>IF(G271=0,0,MIN(1,I271/G271))</f>
        <v/>
      </c>
    </row>
    <row r="272">
      <c r="A272" t="inlineStr">
        <is>
          <t>IMB0022214</t>
        </is>
      </c>
      <c r="B272" t="inlineStr">
        <is>
          <t>FPSO Forte - Albacora Leste</t>
        </is>
      </c>
      <c r="C272" t="inlineStr">
        <is>
          <t>Prio Forte</t>
        </is>
      </c>
      <c r="D272" t="inlineStr">
        <is>
          <t>Albacora Leste</t>
        </is>
      </c>
      <c r="E272" t="inlineStr">
        <is>
          <t>Sistema de ancoragem - linha</t>
        </is>
      </c>
      <c r="F272" t="inlineStr">
        <is>
          <t>Amostral</t>
        </is>
      </c>
      <c r="G272" s="8" t="n">
        <v>5512394.21</v>
      </c>
      <c r="H272" s="8" t="n">
        <v>5512394.21</v>
      </c>
      <c r="I272" s="8">
        <f>G272-H272</f>
        <v/>
      </c>
      <c r="J272" s="11">
        <f>IF(G272=0,0,MIN(1,I272/G272))</f>
        <v/>
      </c>
    </row>
    <row r="273">
      <c r="A273" t="inlineStr">
        <is>
          <t>IMB0022296</t>
        </is>
      </c>
      <c r="B273" t="inlineStr">
        <is>
          <t>FPSO Forte - Albacora Leste</t>
        </is>
      </c>
      <c r="C273" t="inlineStr">
        <is>
          <t>Prio Forte</t>
        </is>
      </c>
      <c r="D273" t="inlineStr">
        <is>
          <t>Albacora Leste</t>
        </is>
      </c>
      <c r="E273" t="inlineStr">
        <is>
          <t>Sistema de injeção de água</t>
        </is>
      </c>
      <c r="F273" t="inlineStr">
        <is>
          <t>Amostral</t>
        </is>
      </c>
      <c r="G273" s="8" t="n">
        <v>2059101.87</v>
      </c>
      <c r="H273" s="8" t="n">
        <v>2059101.87</v>
      </c>
      <c r="I273" s="8">
        <f>G273-H273</f>
        <v/>
      </c>
      <c r="J273" s="11">
        <f>IF(G273=0,0,MIN(1,I273/G273))</f>
        <v/>
      </c>
    </row>
    <row r="274">
      <c r="A274" t="inlineStr">
        <is>
          <t>IMB0022414</t>
        </is>
      </c>
      <c r="B274" t="inlineStr">
        <is>
          <t>FPSO Forte - Albacora Leste</t>
        </is>
      </c>
      <c r="C274" t="inlineStr">
        <is>
          <t>Prio Forte</t>
        </is>
      </c>
      <c r="D274" t="inlineStr">
        <is>
          <t>Albacora Leste</t>
        </is>
      </c>
      <c r="E274" t="inlineStr">
        <is>
          <t>Válvula de segurança (SDV)</t>
        </is>
      </c>
      <c r="F274" t="inlineStr">
        <is>
          <t>Amostral</t>
        </is>
      </c>
      <c r="G274" s="8" t="n">
        <v>2033217.01</v>
      </c>
      <c r="H274" s="8" t="n">
        <v>2033217.01</v>
      </c>
      <c r="I274" s="8">
        <f>G274-H274</f>
        <v/>
      </c>
      <c r="J274" s="11">
        <f>IF(G274=0,0,MIN(1,I274/G274))</f>
        <v/>
      </c>
    </row>
    <row r="275">
      <c r="A275" t="inlineStr">
        <is>
          <t>IMB0022476</t>
        </is>
      </c>
      <c r="B275" t="inlineStr">
        <is>
          <t>FPSO Forte - Albacora Leste</t>
        </is>
      </c>
      <c r="C275" t="inlineStr">
        <is>
          <t>Prio Forte</t>
        </is>
      </c>
      <c r="D275" t="inlineStr">
        <is>
          <t>Albacora Leste</t>
        </is>
      </c>
      <c r="E275" t="inlineStr">
        <is>
          <t>Guindaste offshore</t>
        </is>
      </c>
      <c r="F275" t="inlineStr">
        <is>
          <t>Amostral</t>
        </is>
      </c>
      <c r="G275" s="8" t="n">
        <v>4092288.26</v>
      </c>
      <c r="H275" s="8" t="n">
        <v>4092288.26</v>
      </c>
      <c r="I275" s="8">
        <f>G275-H275</f>
        <v/>
      </c>
      <c r="J275" s="11">
        <f>IF(G275=0,0,MIN(1,I275/G275))</f>
        <v/>
      </c>
    </row>
    <row r="276">
      <c r="A276" t="inlineStr">
        <is>
          <t>IMB0022539</t>
        </is>
      </c>
      <c r="B276" t="inlineStr">
        <is>
          <t>FPSO Forte - Albacora Leste</t>
        </is>
      </c>
      <c r="C276" t="inlineStr">
        <is>
          <t>Prio Forte</t>
        </is>
      </c>
      <c r="D276" t="inlineStr">
        <is>
          <t>Albacora Leste</t>
        </is>
      </c>
      <c r="E276" t="inlineStr">
        <is>
          <t>Turret/swivel</t>
        </is>
      </c>
      <c r="F276" t="inlineStr">
        <is>
          <t>Amostral</t>
        </is>
      </c>
      <c r="G276" s="8" t="n">
        <v>5517641.32</v>
      </c>
      <c r="H276" s="8" t="n">
        <v>5517641.32</v>
      </c>
      <c r="I276" s="8">
        <f>G276-H276</f>
        <v/>
      </c>
      <c r="J276" s="11">
        <f>IF(G276=0,0,MIN(1,I276/G276))</f>
        <v/>
      </c>
    </row>
    <row r="277">
      <c r="A277" t="inlineStr">
        <is>
          <t>IMB0022614</t>
        </is>
      </c>
      <c r="B277" t="inlineStr">
        <is>
          <t>FPSO Forte - Albacora Leste</t>
        </is>
      </c>
      <c r="C277" t="inlineStr">
        <is>
          <t>Prio Forte</t>
        </is>
      </c>
      <c r="D277" t="inlineStr">
        <is>
          <t>Albacora Leste</t>
        </is>
      </c>
      <c r="E277" t="inlineStr">
        <is>
          <t>Instrumentação e automação</t>
        </is>
      </c>
      <c r="F277" t="inlineStr">
        <is>
          <t>Amostral</t>
        </is>
      </c>
      <c r="G277" s="8" t="n">
        <v>538337.39</v>
      </c>
      <c r="H277" s="8" t="n">
        <v>538337.39</v>
      </c>
      <c r="I277" s="8">
        <f>G277-H277</f>
        <v/>
      </c>
      <c r="J277" s="11">
        <f>IF(G277=0,0,MIN(1,I277/G277))</f>
        <v/>
      </c>
    </row>
    <row r="278">
      <c r="A278" t="inlineStr">
        <is>
          <t>IMB0022740</t>
        </is>
      </c>
      <c r="B278" t="inlineStr">
        <is>
          <t>FPSO Forte - Albacora Leste</t>
        </is>
      </c>
      <c r="C278" t="inlineStr">
        <is>
          <t>Prio Forte</t>
        </is>
      </c>
      <c r="D278" t="inlineStr">
        <is>
          <t>Albacora Leste</t>
        </is>
      </c>
      <c r="E278" t="inlineStr">
        <is>
          <t>Compressor de gás</t>
        </is>
      </c>
      <c r="F278" t="inlineStr">
        <is>
          <t>Amostral</t>
        </is>
      </c>
      <c r="G278" s="8" t="n">
        <v>2938516.45</v>
      </c>
      <c r="H278" s="8" t="n">
        <v>2938516.45</v>
      </c>
      <c r="I278" s="8">
        <f>G278-H278</f>
        <v/>
      </c>
      <c r="J278" s="11">
        <f>IF(G278=0,0,MIN(1,I278/G278))</f>
        <v/>
      </c>
    </row>
    <row r="279">
      <c r="A279" t="inlineStr">
        <is>
          <t>IMB0022885</t>
        </is>
      </c>
      <c r="B279" t="inlineStr">
        <is>
          <t>FPSO Forte - Albacora Leste</t>
        </is>
      </c>
      <c r="C279" t="inlineStr">
        <is>
          <t>Prio Forte</t>
        </is>
      </c>
      <c r="D279" t="inlineStr">
        <is>
          <t>Albacora Leste</t>
        </is>
      </c>
      <c r="E279" t="inlineStr">
        <is>
          <t>Sistema de tratamento de óleo</t>
        </is>
      </c>
      <c r="F279" t="inlineStr">
        <is>
          <t>Amostral</t>
        </is>
      </c>
      <c r="G279" s="8" t="n">
        <v>576665.39</v>
      </c>
      <c r="H279" s="8" t="n">
        <v>576665.39</v>
      </c>
      <c r="I279" s="8">
        <f>G279-H279</f>
        <v/>
      </c>
      <c r="J279" s="11">
        <f>IF(G279=0,0,MIN(1,I279/G279))</f>
        <v/>
      </c>
    </row>
    <row r="280">
      <c r="A280" t="inlineStr">
        <is>
          <t>IMB0023009</t>
        </is>
      </c>
      <c r="B280" t="inlineStr">
        <is>
          <t>FPSO Forte - Albacora Leste</t>
        </is>
      </c>
      <c r="C280" t="inlineStr">
        <is>
          <t>Prio Forte</t>
        </is>
      </c>
      <c r="D280" t="inlineStr">
        <is>
          <t>Albacora Leste</t>
        </is>
      </c>
      <c r="E280" t="inlineStr">
        <is>
          <t>Casco e estrutura naval</t>
        </is>
      </c>
      <c r="F280" t="inlineStr">
        <is>
          <t>Amostral</t>
        </is>
      </c>
      <c r="G280" s="8" t="n">
        <v>2209545.26</v>
      </c>
      <c r="H280" s="8" t="n">
        <v>2209545.26</v>
      </c>
      <c r="I280" s="8">
        <f>G280-H280</f>
        <v/>
      </c>
      <c r="J280" s="11">
        <f>IF(G280=0,0,MIN(1,I280/G280))</f>
        <v/>
      </c>
    </row>
    <row r="281">
      <c r="A281" t="inlineStr">
        <is>
          <t>IMB0023159</t>
        </is>
      </c>
      <c r="B281" t="inlineStr">
        <is>
          <t>FPSO Forte - Albacora Leste</t>
        </is>
      </c>
      <c r="C281" t="inlineStr">
        <is>
          <t>Prio Forte</t>
        </is>
      </c>
      <c r="D281" t="inlineStr">
        <is>
          <t>Albacora Leste</t>
        </is>
      </c>
      <c r="E281" t="inlineStr">
        <is>
          <t>Compressor de gás</t>
        </is>
      </c>
      <c r="F281" t="inlineStr">
        <is>
          <t>Amostral</t>
        </is>
      </c>
      <c r="G281" s="8" t="n">
        <v>813549.03</v>
      </c>
      <c r="H281" s="8" t="n">
        <v>813549.03</v>
      </c>
      <c r="I281" s="8">
        <f>G281-H281</f>
        <v/>
      </c>
      <c r="J281" s="11">
        <f>IF(G281=0,0,MIN(1,I281/G281))</f>
        <v/>
      </c>
    </row>
    <row r="282">
      <c r="A282" t="inlineStr">
        <is>
          <t>IMB0023265</t>
        </is>
      </c>
      <c r="B282" t="inlineStr">
        <is>
          <t>FPSO Forte - Albacora Leste</t>
        </is>
      </c>
      <c r="C282" t="inlineStr">
        <is>
          <t>Prio Forte</t>
        </is>
      </c>
      <c r="D282" t="inlineStr">
        <is>
          <t>Albacora Leste</t>
        </is>
      </c>
      <c r="E282" t="inlineStr">
        <is>
          <t>Instrumentação e automação</t>
        </is>
      </c>
      <c r="F282" t="inlineStr">
        <is>
          <t>Amostral</t>
        </is>
      </c>
      <c r="G282" s="8" t="n">
        <v>1565391.4</v>
      </c>
      <c r="H282" s="8" t="n">
        <v>1565391.4</v>
      </c>
      <c r="I282" s="8">
        <f>G282-H282</f>
        <v/>
      </c>
      <c r="J282" s="11">
        <f>IF(G282=0,0,MIN(1,I282/G282))</f>
        <v/>
      </c>
    </row>
    <row r="283">
      <c r="A283" t="inlineStr">
        <is>
          <t>IMB0023375</t>
        </is>
      </c>
      <c r="B283" t="inlineStr">
        <is>
          <t>FPSO Forte - Albacora Leste</t>
        </is>
      </c>
      <c r="C283" t="inlineStr">
        <is>
          <t>Prio Forte</t>
        </is>
      </c>
      <c r="D283" t="inlineStr">
        <is>
          <t>Albacora Leste</t>
        </is>
      </c>
      <c r="E283" t="inlineStr">
        <is>
          <t>Turbogerador principal</t>
        </is>
      </c>
      <c r="F283" t="inlineStr">
        <is>
          <t>Amostral</t>
        </is>
      </c>
      <c r="G283" s="8" t="n">
        <v>251632.65</v>
      </c>
      <c r="H283" s="8" t="n">
        <v>251632.65</v>
      </c>
      <c r="I283" s="8">
        <f>G283-H283</f>
        <v/>
      </c>
      <c r="J283" s="11">
        <f>IF(G283=0,0,MIN(1,I283/G283))</f>
        <v/>
      </c>
    </row>
    <row r="284">
      <c r="A284" t="inlineStr">
        <is>
          <t>IMB0023473</t>
        </is>
      </c>
      <c r="B284" t="inlineStr">
        <is>
          <t>FPSO Forte - Albacora Leste</t>
        </is>
      </c>
      <c r="C284" t="inlineStr">
        <is>
          <t>Prio Forte</t>
        </is>
      </c>
      <c r="D284" t="inlineStr">
        <is>
          <t>Albacora Leste</t>
        </is>
      </c>
      <c r="E284" t="inlineStr">
        <is>
          <t>Sistema de combate a incêndio (dilúvio)</t>
        </is>
      </c>
      <c r="F284" t="inlineStr">
        <is>
          <t>Amostral</t>
        </is>
      </c>
      <c r="G284" s="8" t="n">
        <v>4213741.61</v>
      </c>
      <c r="H284" s="8" t="n">
        <v>4213741.61</v>
      </c>
      <c r="I284" s="8">
        <f>G284-H284</f>
        <v/>
      </c>
      <c r="J284" s="11">
        <f>IF(G284=0,0,MIN(1,I284/G284))</f>
        <v/>
      </c>
    </row>
    <row r="285">
      <c r="A285" t="inlineStr">
        <is>
          <t>IMB0023537</t>
        </is>
      </c>
      <c r="B285" t="inlineStr">
        <is>
          <t>FPSO Forte - Albacora Leste</t>
        </is>
      </c>
      <c r="C285" t="inlineStr">
        <is>
          <t>Prio Forte</t>
        </is>
      </c>
      <c r="D285" t="inlineStr">
        <is>
          <t>Albacora Leste</t>
        </is>
      </c>
      <c r="E285" t="inlineStr">
        <is>
          <t>Tanque de carga</t>
        </is>
      </c>
      <c r="F285" t="inlineStr">
        <is>
          <t>Amostral</t>
        </is>
      </c>
      <c r="G285" s="8" t="n">
        <v>322720.01</v>
      </c>
      <c r="H285" s="8" t="n">
        <v>322720.01</v>
      </c>
      <c r="I285" s="8">
        <f>G285-H285</f>
        <v/>
      </c>
      <c r="J285" s="11">
        <f>IF(G285=0,0,MIN(1,I285/G285))</f>
        <v/>
      </c>
    </row>
    <row r="286">
      <c r="A286" t="inlineStr">
        <is>
          <t>IMB0023649</t>
        </is>
      </c>
      <c r="B286" t="inlineStr">
        <is>
          <t>FPSO Forte - Albacora Leste</t>
        </is>
      </c>
      <c r="C286" t="inlineStr">
        <is>
          <t>Prio Forte</t>
        </is>
      </c>
      <c r="D286" t="inlineStr">
        <is>
          <t>Albacora Leste</t>
        </is>
      </c>
      <c r="E286" t="inlineStr">
        <is>
          <t>Tanque de carga</t>
        </is>
      </c>
      <c r="F286" t="inlineStr">
        <is>
          <t>Amostral</t>
        </is>
      </c>
      <c r="G286" s="8" t="n">
        <v>268117.89</v>
      </c>
      <c r="H286" s="8" t="n">
        <v>268117.89</v>
      </c>
      <c r="I286" s="8">
        <f>G286-H286</f>
        <v/>
      </c>
      <c r="J286" s="11">
        <f>IF(G286=0,0,MIN(1,I286/G286))</f>
        <v/>
      </c>
    </row>
    <row r="287">
      <c r="A287" t="inlineStr">
        <is>
          <t>IMB0023760</t>
        </is>
      </c>
      <c r="B287" t="inlineStr">
        <is>
          <t>FPSO Forte - Albacora Leste</t>
        </is>
      </c>
      <c r="C287" t="inlineStr">
        <is>
          <t>Prio Forte</t>
        </is>
      </c>
      <c r="D287" t="inlineStr">
        <is>
          <t>Albacora Leste</t>
        </is>
      </c>
      <c r="E287" t="inlineStr">
        <is>
          <t>Turret/swivel</t>
        </is>
      </c>
      <c r="F287" t="inlineStr">
        <is>
          <t>Amostral</t>
        </is>
      </c>
      <c r="G287" s="8" t="n">
        <v>3162297.91</v>
      </c>
      <c r="H287" s="8" t="n">
        <v>3162297.91</v>
      </c>
      <c r="I287" s="8">
        <f>G287-H287</f>
        <v/>
      </c>
      <c r="J287" s="11">
        <f>IF(G287=0,0,MIN(1,I287/G287))</f>
        <v/>
      </c>
    </row>
    <row r="288">
      <c r="A288" t="inlineStr">
        <is>
          <t>IMB0023860</t>
        </is>
      </c>
      <c r="B288" t="inlineStr">
        <is>
          <t>FPSO Forte - Albacora Leste</t>
        </is>
      </c>
      <c r="C288" t="inlineStr">
        <is>
          <t>Prio Forte</t>
        </is>
      </c>
      <c r="D288" t="inlineStr">
        <is>
          <t>Albacora Leste</t>
        </is>
      </c>
      <c r="E288" t="inlineStr">
        <is>
          <t>Válvula de segurança (SDV)</t>
        </is>
      </c>
      <c r="F288" t="inlineStr">
        <is>
          <t>Amostral</t>
        </is>
      </c>
      <c r="G288" s="8" t="n">
        <v>372613.13</v>
      </c>
      <c r="H288" s="8" t="n">
        <v>372613.13</v>
      </c>
      <c r="I288" s="8">
        <f>G288-H288</f>
        <v/>
      </c>
      <c r="J288" s="11">
        <f>IF(G288=0,0,MIN(1,I288/G288))</f>
        <v/>
      </c>
    </row>
    <row r="289">
      <c r="A289" t="inlineStr">
        <is>
          <t>IMB0023932</t>
        </is>
      </c>
      <c r="B289" t="inlineStr">
        <is>
          <t>FPSO Forte - Albacora Leste</t>
        </is>
      </c>
      <c r="C289" t="inlineStr">
        <is>
          <t>Prio Forte</t>
        </is>
      </c>
      <c r="D289" t="inlineStr">
        <is>
          <t>Albacora Leste</t>
        </is>
      </c>
      <c r="E289" t="inlineStr">
        <is>
          <t>Guindaste offshore</t>
        </is>
      </c>
      <c r="F289" t="inlineStr">
        <is>
          <t>Amostral</t>
        </is>
      </c>
      <c r="G289" s="8" t="n">
        <v>18753192.53</v>
      </c>
      <c r="H289" s="8" t="n">
        <v>18753192.53</v>
      </c>
      <c r="I289" s="8">
        <f>G289-H289</f>
        <v/>
      </c>
      <c r="J289" s="11">
        <f>IF(G289=0,0,MIN(1,I289/G289))</f>
        <v/>
      </c>
    </row>
    <row r="290">
      <c r="A290" t="inlineStr">
        <is>
          <t>IMB0024054</t>
        </is>
      </c>
      <c r="B290" t="inlineStr">
        <is>
          <t>FPSO Forte - Albacora Leste</t>
        </is>
      </c>
      <c r="C290" t="inlineStr">
        <is>
          <t>Prio Forte</t>
        </is>
      </c>
      <c r="D290" t="inlineStr">
        <is>
          <t>Albacora Leste</t>
        </is>
      </c>
      <c r="E290" t="inlineStr">
        <is>
          <t>Instrumentação e automação</t>
        </is>
      </c>
      <c r="F290" t="inlineStr">
        <is>
          <t>Amostral</t>
        </is>
      </c>
      <c r="G290" s="8" t="n">
        <v>1223905.13</v>
      </c>
      <c r="H290" s="8" t="n">
        <v>1223905.13</v>
      </c>
      <c r="I290" s="8">
        <f>G290-H290</f>
        <v/>
      </c>
      <c r="J290" s="11">
        <f>IF(G290=0,0,MIN(1,I290/G290))</f>
        <v/>
      </c>
    </row>
    <row r="291">
      <c r="A291" t="inlineStr">
        <is>
          <t>IMB0024197</t>
        </is>
      </c>
      <c r="B291" t="inlineStr">
        <is>
          <t>FPSO Forte - Albacora Leste</t>
        </is>
      </c>
      <c r="C291" t="inlineStr">
        <is>
          <t>Prio Forte</t>
        </is>
      </c>
      <c r="D291" t="inlineStr">
        <is>
          <t>Albacora Leste</t>
        </is>
      </c>
      <c r="E291" t="inlineStr">
        <is>
          <t>Tanque de carga</t>
        </is>
      </c>
      <c r="F291" t="inlineStr">
        <is>
          <t>Amostral</t>
        </is>
      </c>
      <c r="G291" s="8" t="n">
        <v>1688334.28</v>
      </c>
      <c r="H291" s="8" t="n">
        <v>1688334.28</v>
      </c>
      <c r="I291" s="8">
        <f>G291-H291</f>
        <v/>
      </c>
      <c r="J291" s="11">
        <f>IF(G291=0,0,MIN(1,I291/G291))</f>
        <v/>
      </c>
    </row>
    <row r="292">
      <c r="A292" t="inlineStr">
        <is>
          <t>IMB0024307</t>
        </is>
      </c>
      <c r="B292" t="inlineStr">
        <is>
          <t>FPSO Forte - Albacora Leste</t>
        </is>
      </c>
      <c r="C292" t="inlineStr">
        <is>
          <t>Prio Forte</t>
        </is>
      </c>
      <c r="D292" t="inlineStr">
        <is>
          <t>Albacora Leste</t>
        </is>
      </c>
      <c r="E292" t="inlineStr">
        <is>
          <t>Sistema de ancoragem - linha</t>
        </is>
      </c>
      <c r="F292" t="inlineStr">
        <is>
          <t>Amostral</t>
        </is>
      </c>
      <c r="G292" s="8" t="n">
        <v>429082.13</v>
      </c>
      <c r="H292" s="8" t="n">
        <v>429082.13</v>
      </c>
      <c r="I292" s="8">
        <f>G292-H292</f>
        <v/>
      </c>
      <c r="J292" s="11">
        <f>IF(G292=0,0,MIN(1,I292/G292))</f>
        <v/>
      </c>
    </row>
    <row r="293">
      <c r="A293" t="inlineStr">
        <is>
          <t>IMB0024352</t>
        </is>
      </c>
      <c r="B293" t="inlineStr">
        <is>
          <t>FPSO Forte - Albacora Leste</t>
        </is>
      </c>
      <c r="C293" t="inlineStr">
        <is>
          <t>Prio Forte</t>
        </is>
      </c>
      <c r="D293" t="inlineStr">
        <is>
          <t>Albacora Leste</t>
        </is>
      </c>
      <c r="E293" t="inlineStr">
        <is>
          <t>Compressor de gás</t>
        </is>
      </c>
      <c r="F293" t="inlineStr">
        <is>
          <t>Amostral</t>
        </is>
      </c>
      <c r="G293" s="8" t="n">
        <v>19908161.51</v>
      </c>
      <c r="H293" s="8" t="n">
        <v>19908161.51</v>
      </c>
      <c r="I293" s="8">
        <f>G293-H293</f>
        <v/>
      </c>
      <c r="J293" s="11">
        <f>IF(G293=0,0,MIN(1,I293/G293))</f>
        <v/>
      </c>
    </row>
    <row r="294">
      <c r="A294" t="inlineStr">
        <is>
          <t>IMB0024433</t>
        </is>
      </c>
      <c r="B294" t="inlineStr">
        <is>
          <t>FPSO Forte - Albacora Leste</t>
        </is>
      </c>
      <c r="C294" t="inlineStr">
        <is>
          <t>Prio Forte</t>
        </is>
      </c>
      <c r="D294" t="inlineStr">
        <is>
          <t>Albacora Leste</t>
        </is>
      </c>
      <c r="E294" t="inlineStr">
        <is>
          <t>Válvula de segurança (SDV)</t>
        </is>
      </c>
      <c r="F294" t="inlineStr">
        <is>
          <t>Amostral</t>
        </is>
      </c>
      <c r="G294" s="8" t="n">
        <v>1738203.27</v>
      </c>
      <c r="H294" s="8" t="n">
        <v>1738203.27</v>
      </c>
      <c r="I294" s="8">
        <f>G294-H294</f>
        <v/>
      </c>
      <c r="J294" s="11">
        <f>IF(G294=0,0,MIN(1,I294/G294))</f>
        <v/>
      </c>
    </row>
    <row r="295">
      <c r="A295" t="inlineStr">
        <is>
          <t>IMB0024551</t>
        </is>
      </c>
      <c r="B295" t="inlineStr">
        <is>
          <t>FPSO Forte - Albacora Leste</t>
        </is>
      </c>
      <c r="C295" t="inlineStr">
        <is>
          <t>Prio Forte</t>
        </is>
      </c>
      <c r="D295" t="inlineStr">
        <is>
          <t>Albacora Leste</t>
        </is>
      </c>
      <c r="E295" t="inlineStr">
        <is>
          <t>Sistema de medição fiscal</t>
        </is>
      </c>
      <c r="F295" t="inlineStr">
        <is>
          <t>Amostral</t>
        </is>
      </c>
      <c r="G295" s="8" t="n">
        <v>546588.24</v>
      </c>
      <c r="H295" s="8" t="n">
        <v>546588.24</v>
      </c>
      <c r="I295" s="8">
        <f>G295-H295</f>
        <v/>
      </c>
      <c r="J295" s="11">
        <f>IF(G295=0,0,MIN(1,I295/G295))</f>
        <v/>
      </c>
    </row>
    <row r="296">
      <c r="A296" t="inlineStr">
        <is>
          <t>IMB0024624</t>
        </is>
      </c>
      <c r="B296" t="inlineStr">
        <is>
          <t>FPSO Forte - Albacora Leste</t>
        </is>
      </c>
      <c r="C296" t="inlineStr">
        <is>
          <t>Prio Forte</t>
        </is>
      </c>
      <c r="D296" t="inlineStr">
        <is>
          <t>Albacora Leste</t>
        </is>
      </c>
      <c r="E296" t="inlineStr">
        <is>
          <t>Módulo de utilidades</t>
        </is>
      </c>
      <c r="F296" t="inlineStr">
        <is>
          <t>Amostral</t>
        </is>
      </c>
      <c r="G296" s="8" t="n">
        <v>1277131.07</v>
      </c>
      <c r="H296" s="8" t="n">
        <v>1277131.07</v>
      </c>
      <c r="I296" s="8">
        <f>G296-H296</f>
        <v/>
      </c>
      <c r="J296" s="11">
        <f>IF(G296=0,0,MIN(1,I296/G296))</f>
        <v/>
      </c>
    </row>
    <row r="297">
      <c r="A297" t="inlineStr">
        <is>
          <t>IMB0024736</t>
        </is>
      </c>
      <c r="B297" t="inlineStr">
        <is>
          <t>FPSO Forte - Albacora Leste</t>
        </is>
      </c>
      <c r="C297" t="inlineStr">
        <is>
          <t>Prio Forte</t>
        </is>
      </c>
      <c r="D297" t="inlineStr">
        <is>
          <t>Albacora Leste</t>
        </is>
      </c>
      <c r="E297" t="inlineStr">
        <is>
          <t>Turbogerador principal</t>
        </is>
      </c>
      <c r="F297" t="inlineStr">
        <is>
          <t>Amostral</t>
        </is>
      </c>
      <c r="G297" s="8" t="n">
        <v>4415839.17</v>
      </c>
      <c r="H297" s="8" t="n">
        <v>4415839.17</v>
      </c>
      <c r="I297" s="8">
        <f>G297-H297</f>
        <v/>
      </c>
      <c r="J297" s="11">
        <f>IF(G297=0,0,MIN(1,I297/G297))</f>
        <v/>
      </c>
    </row>
    <row r="298">
      <c r="A298" t="inlineStr">
        <is>
          <t>IMB0024812</t>
        </is>
      </c>
      <c r="B298" t="inlineStr">
        <is>
          <t>FPSO Forte - Albacora Leste</t>
        </is>
      </c>
      <c r="C298" t="inlineStr">
        <is>
          <t>Prio Forte</t>
        </is>
      </c>
      <c r="D298" t="inlineStr">
        <is>
          <t>Albacora Leste</t>
        </is>
      </c>
      <c r="E298" t="inlineStr">
        <is>
          <t>Turbogerador principal</t>
        </is>
      </c>
      <c r="F298" t="inlineStr">
        <is>
          <t>Amostral</t>
        </is>
      </c>
      <c r="G298" s="8" t="n">
        <v>906809.63</v>
      </c>
      <c r="H298" s="8" t="n">
        <v>906809.63</v>
      </c>
      <c r="I298" s="8">
        <f>G298-H298</f>
        <v/>
      </c>
      <c r="J298" s="11">
        <f>IF(G298=0,0,MIN(1,I298/G298))</f>
        <v/>
      </c>
    </row>
    <row r="299">
      <c r="A299" t="inlineStr">
        <is>
          <t>IMB0024921</t>
        </is>
      </c>
      <c r="B299" t="inlineStr">
        <is>
          <t>FPSO Forte - Albacora Leste</t>
        </is>
      </c>
      <c r="C299" t="inlineStr">
        <is>
          <t>Prio Forte</t>
        </is>
      </c>
      <c r="D299" t="inlineStr">
        <is>
          <t>Albacora Leste</t>
        </is>
      </c>
      <c r="E299" t="inlineStr">
        <is>
          <t>Sistema de injeção de água</t>
        </is>
      </c>
      <c r="F299" t="inlineStr">
        <is>
          <t>Amostral</t>
        </is>
      </c>
      <c r="G299" s="8" t="n">
        <v>18618709.74</v>
      </c>
      <c r="H299" s="8" t="n">
        <v>18618709.74</v>
      </c>
      <c r="I299" s="8">
        <f>G299-H299</f>
        <v/>
      </c>
      <c r="J299" s="11">
        <f>IF(G299=0,0,MIN(1,I299/G299))</f>
        <v/>
      </c>
    </row>
    <row r="300">
      <c r="A300" t="inlineStr">
        <is>
          <t>IMB0024967</t>
        </is>
      </c>
      <c r="B300" t="inlineStr">
        <is>
          <t>FPSO Forte - Albacora Leste</t>
        </is>
      </c>
      <c r="C300" t="inlineStr">
        <is>
          <t>Prio Forte</t>
        </is>
      </c>
      <c r="D300" t="inlineStr">
        <is>
          <t>Albacora Leste</t>
        </is>
      </c>
      <c r="E300" t="inlineStr">
        <is>
          <t>Casco e estrutura naval</t>
        </is>
      </c>
      <c r="F300" t="inlineStr">
        <is>
          <t>Amostral</t>
        </is>
      </c>
      <c r="G300" s="8" t="n">
        <v>709096.2</v>
      </c>
      <c r="H300" s="8" t="n">
        <v>709096.2</v>
      </c>
      <c r="I300" s="8">
        <f>G300-H300</f>
        <v/>
      </c>
      <c r="J300" s="11">
        <f>IF(G300=0,0,MIN(1,I300/G300))</f>
        <v/>
      </c>
    </row>
    <row r="301">
      <c r="A301" t="inlineStr">
        <is>
          <t>IMB0025067</t>
        </is>
      </c>
      <c r="B301" t="inlineStr">
        <is>
          <t>FPSO Forte - Albacora Leste</t>
        </is>
      </c>
      <c r="C301" t="inlineStr">
        <is>
          <t>Prio Forte</t>
        </is>
      </c>
      <c r="D301" t="inlineStr">
        <is>
          <t>Albacora Leste</t>
        </is>
      </c>
      <c r="E301" t="inlineStr">
        <is>
          <t>Planta de processo - separador trifásico</t>
        </is>
      </c>
      <c r="F301" t="inlineStr">
        <is>
          <t>Amostral</t>
        </is>
      </c>
      <c r="G301" s="8" t="n">
        <v>244012.92</v>
      </c>
      <c r="H301" s="8" t="n">
        <v>244012.92</v>
      </c>
      <c r="I301" s="8">
        <f>G301-H301</f>
        <v/>
      </c>
      <c r="J301" s="11">
        <f>IF(G301=0,0,MIN(1,I301/G301))</f>
        <v/>
      </c>
    </row>
    <row r="302">
      <c r="A302" t="inlineStr">
        <is>
          <t>IMB0025182</t>
        </is>
      </c>
      <c r="B302" t="inlineStr">
        <is>
          <t>FPSO Forte - Albacora Leste</t>
        </is>
      </c>
      <c r="C302" t="inlineStr">
        <is>
          <t>Prio Forte</t>
        </is>
      </c>
      <c r="D302" t="inlineStr">
        <is>
          <t>Albacora Leste</t>
        </is>
      </c>
      <c r="E302" t="inlineStr">
        <is>
          <t>Sistema de tratamento de óleo</t>
        </is>
      </c>
      <c r="F302" t="inlineStr">
        <is>
          <t>Amostral</t>
        </is>
      </c>
      <c r="G302" s="8" t="n">
        <v>501720.76</v>
      </c>
      <c r="H302" s="8" t="n">
        <v>501720.76</v>
      </c>
      <c r="I302" s="8">
        <f>G302-H302</f>
        <v/>
      </c>
      <c r="J302" s="11">
        <f>IF(G302=0,0,MIN(1,I302/G302))</f>
        <v/>
      </c>
    </row>
    <row r="303">
      <c r="A303" t="inlineStr">
        <is>
          <t>IMB0025295</t>
        </is>
      </c>
      <c r="B303" t="inlineStr">
        <is>
          <t>FPSO Forte - Albacora Leste</t>
        </is>
      </c>
      <c r="C303" t="inlineStr">
        <is>
          <t>Prio Forte</t>
        </is>
      </c>
      <c r="D303" t="inlineStr">
        <is>
          <t>Albacora Leste</t>
        </is>
      </c>
      <c r="E303" t="inlineStr">
        <is>
          <t>Válvula de segurança (SDV)</t>
        </is>
      </c>
      <c r="F303" t="inlineStr">
        <is>
          <t>Amostral</t>
        </is>
      </c>
      <c r="G303" s="8" t="n">
        <v>696764.88</v>
      </c>
      <c r="H303" s="8" t="n">
        <v>696764.88</v>
      </c>
      <c r="I303" s="8">
        <f>G303-H303</f>
        <v/>
      </c>
      <c r="J303" s="11">
        <f>IF(G303=0,0,MIN(1,I303/G303))</f>
        <v/>
      </c>
    </row>
    <row r="304">
      <c r="A304" t="inlineStr">
        <is>
          <t>IMB0025384</t>
        </is>
      </c>
      <c r="B304" t="inlineStr">
        <is>
          <t>FPSO Forte - Albacora Leste</t>
        </is>
      </c>
      <c r="C304" t="inlineStr">
        <is>
          <t>Prio Forte</t>
        </is>
      </c>
      <c r="D304" t="inlineStr">
        <is>
          <t>Albacora Leste</t>
        </is>
      </c>
      <c r="E304" t="inlineStr">
        <is>
          <t>Turret/swivel</t>
        </is>
      </c>
      <c r="F304" t="inlineStr">
        <is>
          <t>Amostral</t>
        </is>
      </c>
      <c r="G304" s="8" t="n">
        <v>3663988.51</v>
      </c>
      <c r="H304" s="8" t="n">
        <v>3663988.51</v>
      </c>
      <c r="I304" s="8">
        <f>G304-H304</f>
        <v/>
      </c>
      <c r="J304" s="11">
        <f>IF(G304=0,0,MIN(1,I304/G304))</f>
        <v/>
      </c>
    </row>
    <row r="305">
      <c r="A305" t="inlineStr">
        <is>
          <t>IMB0025486</t>
        </is>
      </c>
      <c r="B305" t="inlineStr">
        <is>
          <t>FPSO Forte - Albacora Leste</t>
        </is>
      </c>
      <c r="C305" t="inlineStr">
        <is>
          <t>Prio Forte</t>
        </is>
      </c>
      <c r="D305" t="inlineStr">
        <is>
          <t>Albacora Leste</t>
        </is>
      </c>
      <c r="E305" t="inlineStr">
        <is>
          <t>Trocador de calor</t>
        </is>
      </c>
      <c r="F305" t="inlineStr">
        <is>
          <t>Amostral</t>
        </is>
      </c>
      <c r="G305" s="8" t="n">
        <v>194916.98</v>
      </c>
      <c r="H305" s="8" t="n">
        <v>194916.98</v>
      </c>
      <c r="I305" s="8">
        <f>G305-H305</f>
        <v/>
      </c>
      <c r="J305" s="11">
        <f>IF(G305=0,0,MIN(1,I305/G305))</f>
        <v/>
      </c>
    </row>
    <row r="306">
      <c r="A306" t="inlineStr">
        <is>
          <t>IMB0025589</t>
        </is>
      </c>
      <c r="B306" t="inlineStr">
        <is>
          <t>FPSO Forte - Albacora Leste</t>
        </is>
      </c>
      <c r="C306" t="inlineStr">
        <is>
          <t>Prio Forte</t>
        </is>
      </c>
      <c r="D306" t="inlineStr">
        <is>
          <t>Albacora Leste</t>
        </is>
      </c>
      <c r="E306" t="inlineStr">
        <is>
          <t>Sistema de injeção de água</t>
        </is>
      </c>
      <c r="F306" t="inlineStr">
        <is>
          <t>Amostral</t>
        </is>
      </c>
      <c r="G306" s="8" t="n">
        <v>918288.65</v>
      </c>
      <c r="H306" s="8" t="n">
        <v>918288.65</v>
      </c>
      <c r="I306" s="8">
        <f>G306-H306</f>
        <v/>
      </c>
      <c r="J306" s="11">
        <f>IF(G306=0,0,MIN(1,I306/G306))</f>
        <v/>
      </c>
    </row>
    <row r="307">
      <c r="A307" t="inlineStr">
        <is>
          <t>IMB0025701</t>
        </is>
      </c>
      <c r="B307" t="inlineStr">
        <is>
          <t>FPSO Forte - Albacora Leste</t>
        </is>
      </c>
      <c r="C307" t="inlineStr">
        <is>
          <t>Prio Forte</t>
        </is>
      </c>
      <c r="D307" t="inlineStr">
        <is>
          <t>Albacora Leste</t>
        </is>
      </c>
      <c r="E307" t="inlineStr">
        <is>
          <t>Sistema de ancoragem - linha</t>
        </is>
      </c>
      <c r="F307" t="inlineStr">
        <is>
          <t>Amostral</t>
        </is>
      </c>
      <c r="G307" s="8" t="n">
        <v>12577247.75</v>
      </c>
      <c r="H307" s="8" t="n">
        <v>12577247.75</v>
      </c>
      <c r="I307" s="8">
        <f>G307-H307</f>
        <v/>
      </c>
      <c r="J307" s="11">
        <f>IF(G307=0,0,MIN(1,I307/G307))</f>
        <v/>
      </c>
    </row>
    <row r="308">
      <c r="A308" t="inlineStr">
        <is>
          <t>IMB0025759</t>
        </is>
      </c>
      <c r="B308" t="inlineStr">
        <is>
          <t>FPSO Forte - Albacora Leste</t>
        </is>
      </c>
      <c r="C308" t="inlineStr">
        <is>
          <t>Prio Forte</t>
        </is>
      </c>
      <c r="D308" t="inlineStr">
        <is>
          <t>Albacora Leste</t>
        </is>
      </c>
      <c r="E308" t="inlineStr">
        <is>
          <t>Bomba de transferência de carga</t>
        </is>
      </c>
      <c r="F308" t="inlineStr">
        <is>
          <t>Amostral</t>
        </is>
      </c>
      <c r="G308" s="8" t="n">
        <v>192684.95</v>
      </c>
      <c r="H308" s="8" t="n">
        <v>192684.95</v>
      </c>
      <c r="I308" s="8">
        <f>G308-H308</f>
        <v/>
      </c>
      <c r="J308" s="11">
        <f>IF(G308=0,0,MIN(1,I308/G308))</f>
        <v/>
      </c>
    </row>
    <row r="309">
      <c r="A309" t="inlineStr">
        <is>
          <t>IMB0025907</t>
        </is>
      </c>
      <c r="B309" t="inlineStr">
        <is>
          <t>FPSO Forte - Albacora Leste</t>
        </is>
      </c>
      <c r="C309" t="inlineStr">
        <is>
          <t>Prio Forte</t>
        </is>
      </c>
      <c r="D309" t="inlineStr">
        <is>
          <t>Albacora Leste</t>
        </is>
      </c>
      <c r="E309" t="inlineStr">
        <is>
          <t>Planta de processo - separador trifásico</t>
        </is>
      </c>
      <c r="F309" t="inlineStr">
        <is>
          <t>Amostral</t>
        </is>
      </c>
      <c r="G309" s="8" t="n">
        <v>146712.5</v>
      </c>
      <c r="H309" s="8" t="n">
        <v>146712.5</v>
      </c>
      <c r="I309" s="8">
        <f>G309-H309</f>
        <v/>
      </c>
      <c r="J309" s="11">
        <f>IF(G309=0,0,MIN(1,I309/G309))</f>
        <v/>
      </c>
    </row>
    <row r="310">
      <c r="A310" t="inlineStr">
        <is>
          <t>IMB0025981</t>
        </is>
      </c>
      <c r="B310" t="inlineStr">
        <is>
          <t>FPSO Forte - Albacora Leste</t>
        </is>
      </c>
      <c r="C310" t="inlineStr">
        <is>
          <t>Prio Forte</t>
        </is>
      </c>
      <c r="D310" t="inlineStr">
        <is>
          <t>Albacora Leste</t>
        </is>
      </c>
      <c r="E310" t="inlineStr">
        <is>
          <t>Bomba de transferência de carga</t>
        </is>
      </c>
      <c r="F310" t="inlineStr">
        <is>
          <t>Amostral</t>
        </is>
      </c>
      <c r="G310" s="8" t="n">
        <v>3152455.69</v>
      </c>
      <c r="H310" s="8" t="n">
        <v>3152455.69</v>
      </c>
      <c r="I310" s="8">
        <f>G310-H310</f>
        <v/>
      </c>
      <c r="J310" s="11">
        <f>IF(G310=0,0,MIN(1,I310/G310))</f>
        <v/>
      </c>
    </row>
    <row r="311">
      <c r="A311" t="inlineStr">
        <is>
          <t>IMB0026082</t>
        </is>
      </c>
      <c r="B311" t="inlineStr">
        <is>
          <t>FPSO Forte - Albacora Leste</t>
        </is>
      </c>
      <c r="C311" t="inlineStr">
        <is>
          <t>Prio Forte</t>
        </is>
      </c>
      <c r="D311" t="inlineStr">
        <is>
          <t>Albacora Leste</t>
        </is>
      </c>
      <c r="E311" t="inlineStr">
        <is>
          <t>Turret/swivel</t>
        </is>
      </c>
      <c r="F311" t="inlineStr">
        <is>
          <t>Amostral</t>
        </is>
      </c>
      <c r="G311" s="8" t="n">
        <v>384607.6</v>
      </c>
      <c r="H311" s="8" t="n">
        <v>384607.6</v>
      </c>
      <c r="I311" s="8">
        <f>G311-H311</f>
        <v/>
      </c>
      <c r="J311" s="11">
        <f>IF(G311=0,0,MIN(1,I311/G311))</f>
        <v/>
      </c>
    </row>
    <row r="312">
      <c r="A312" t="inlineStr">
        <is>
          <t>IMB0026203</t>
        </is>
      </c>
      <c r="B312" t="inlineStr">
        <is>
          <t>FPSO Forte - Albacora Leste</t>
        </is>
      </c>
      <c r="C312" t="inlineStr">
        <is>
          <t>Prio Forte</t>
        </is>
      </c>
      <c r="D312" t="inlineStr">
        <is>
          <t>Albacora Leste</t>
        </is>
      </c>
      <c r="E312" t="inlineStr">
        <is>
          <t>Instrumentação e automação</t>
        </is>
      </c>
      <c r="F312" t="inlineStr">
        <is>
          <t>Amostral</t>
        </is>
      </c>
      <c r="G312" s="8" t="n">
        <v>1181875.47</v>
      </c>
      <c r="H312" s="8" t="n">
        <v>1181875.47</v>
      </c>
      <c r="I312" s="8">
        <f>G312-H312</f>
        <v/>
      </c>
      <c r="J312" s="11">
        <f>IF(G312=0,0,MIN(1,I312/G312))</f>
        <v/>
      </c>
    </row>
    <row r="313">
      <c r="A313" t="inlineStr">
        <is>
          <t>IMB0026336</t>
        </is>
      </c>
      <c r="B313" t="inlineStr">
        <is>
          <t>FPSO Forte - Albacora Leste</t>
        </is>
      </c>
      <c r="C313" t="inlineStr">
        <is>
          <t>Prio Forte</t>
        </is>
      </c>
      <c r="D313" t="inlineStr">
        <is>
          <t>Albacora Leste</t>
        </is>
      </c>
      <c r="E313" t="inlineStr">
        <is>
          <t>Sistema de flare</t>
        </is>
      </c>
      <c r="F313" t="inlineStr">
        <is>
          <t>Amostral</t>
        </is>
      </c>
      <c r="G313" s="8" t="n">
        <v>778335.51</v>
      </c>
      <c r="H313" s="8" t="n">
        <v>778335.51</v>
      </c>
      <c r="I313" s="8">
        <f>G313-H313</f>
        <v/>
      </c>
      <c r="J313" s="11">
        <f>IF(G313=0,0,MIN(1,I313/G313))</f>
        <v/>
      </c>
    </row>
    <row r="314">
      <c r="A314" t="inlineStr">
        <is>
          <t>IMB0026452</t>
        </is>
      </c>
      <c r="B314" t="inlineStr">
        <is>
          <t>FPSO Forte - Albacora Leste</t>
        </is>
      </c>
      <c r="C314" t="inlineStr">
        <is>
          <t>Prio Forte</t>
        </is>
      </c>
      <c r="D314" t="inlineStr">
        <is>
          <t>Albacora Leste</t>
        </is>
      </c>
      <c r="E314" t="inlineStr">
        <is>
          <t>Planta de processo - separador trifásico</t>
        </is>
      </c>
      <c r="F314" t="inlineStr">
        <is>
          <t>Amostral</t>
        </is>
      </c>
      <c r="G314" s="8" t="n">
        <v>680574.4300000001</v>
      </c>
      <c r="H314" s="8" t="n">
        <v>680574.4300000001</v>
      </c>
      <c r="I314" s="8">
        <f>G314-H314</f>
        <v/>
      </c>
      <c r="J314" s="11">
        <f>IF(G314=0,0,MIN(1,I314/G314))</f>
        <v/>
      </c>
    </row>
    <row r="315">
      <c r="A315" t="inlineStr">
        <is>
          <t>IMB0026568</t>
        </is>
      </c>
      <c r="B315" t="inlineStr">
        <is>
          <t>Sonda Hunter Queen</t>
        </is>
      </c>
      <c r="C315" t="inlineStr">
        <is>
          <t>Prio Forte</t>
        </is>
      </c>
      <c r="D315" t="inlineStr">
        <is>
          <t>Frade</t>
        </is>
      </c>
      <c r="E315" t="inlineStr">
        <is>
          <t>Sistema de controle de poço</t>
        </is>
      </c>
      <c r="F315" t="inlineStr">
        <is>
          <t>Amostral</t>
        </is>
      </c>
      <c r="G315" s="8" t="n">
        <v>426058.06</v>
      </c>
      <c r="H315" s="8" t="n">
        <v>426058.06</v>
      </c>
      <c r="I315" s="8">
        <f>G315-H315</f>
        <v/>
      </c>
      <c r="J315" s="11">
        <f>IF(G315=0,0,MIN(1,I315/G315))</f>
        <v/>
      </c>
    </row>
    <row r="316">
      <c r="A316" t="inlineStr">
        <is>
          <t>IMB0026684</t>
        </is>
      </c>
      <c r="B316" t="inlineStr">
        <is>
          <t>Sonda Hunter Queen</t>
        </is>
      </c>
      <c r="C316" t="inlineStr">
        <is>
          <t>Prio Forte</t>
        </is>
      </c>
      <c r="D316" t="inlineStr">
        <is>
          <t>Frade</t>
        </is>
      </c>
      <c r="E316" t="inlineStr">
        <is>
          <t>Mesa rotativa</t>
        </is>
      </c>
      <c r="F316" t="inlineStr">
        <is>
          <t>Amostral</t>
        </is>
      </c>
      <c r="G316" s="8" t="n">
        <v>1020732.9</v>
      </c>
      <c r="H316" s="8" t="n">
        <v>1020732.9</v>
      </c>
      <c r="I316" s="8">
        <f>G316-H316</f>
        <v/>
      </c>
      <c r="J316" s="11">
        <f>IF(G316=0,0,MIN(1,I316/G316))</f>
        <v/>
      </c>
    </row>
    <row r="317">
      <c r="A317" t="inlineStr">
        <is>
          <t>IMB0026725</t>
        </is>
      </c>
      <c r="B317" t="inlineStr">
        <is>
          <t>Sonda Hunter Queen</t>
        </is>
      </c>
      <c r="C317" t="inlineStr">
        <is>
          <t>Prio Forte</t>
        </is>
      </c>
      <c r="D317" t="inlineStr">
        <is>
          <t>Frade</t>
        </is>
      </c>
      <c r="E317" t="inlineStr">
        <is>
          <t>Top drive</t>
        </is>
      </c>
      <c r="F317" t="inlineStr">
        <is>
          <t>Amostral</t>
        </is>
      </c>
      <c r="G317" s="8" t="n">
        <v>5395363.74</v>
      </c>
      <c r="H317" s="8" t="n">
        <v>5395363.74</v>
      </c>
      <c r="I317" s="8">
        <f>G317-H317</f>
        <v/>
      </c>
      <c r="J317" s="11">
        <f>IF(G317=0,0,MIN(1,I317/G317))</f>
        <v/>
      </c>
    </row>
    <row r="318">
      <c r="A318" t="inlineStr">
        <is>
          <t>IMB0026769</t>
        </is>
      </c>
      <c r="B318" t="inlineStr">
        <is>
          <t>Sonda Hunter Queen</t>
        </is>
      </c>
      <c r="C318" t="inlineStr">
        <is>
          <t>Prio Forte</t>
        </is>
      </c>
      <c r="D318" t="inlineStr">
        <is>
          <t>Frade</t>
        </is>
      </c>
      <c r="E318" t="inlineStr">
        <is>
          <t>Torre de perfuração</t>
        </is>
      </c>
      <c r="F318" t="inlineStr">
        <is>
          <t>Amostral</t>
        </is>
      </c>
      <c r="G318" s="8" t="n">
        <v>527847.03</v>
      </c>
      <c r="H318" s="8" t="n">
        <v>527847.03</v>
      </c>
      <c r="I318" s="8">
        <f>G318-H318</f>
        <v/>
      </c>
      <c r="J318" s="11">
        <f>IF(G318=0,0,MIN(1,I318/G318))</f>
        <v/>
      </c>
    </row>
    <row r="319">
      <c r="A319" t="inlineStr">
        <is>
          <t>IMB0026848</t>
        </is>
      </c>
      <c r="B319" t="inlineStr">
        <is>
          <t>Sonda Hunter Queen</t>
        </is>
      </c>
      <c r="C319" t="inlineStr">
        <is>
          <t>Prio Forte</t>
        </is>
      </c>
      <c r="D319" t="inlineStr">
        <is>
          <t>Frade</t>
        </is>
      </c>
      <c r="E319" t="inlineStr">
        <is>
          <t>Torre de perfuração</t>
        </is>
      </c>
      <c r="F319" t="inlineStr">
        <is>
          <t>Amostral</t>
        </is>
      </c>
      <c r="G319" s="8" t="n">
        <v>6762976.61</v>
      </c>
      <c r="H319" s="8" t="n">
        <v>6762976.61</v>
      </c>
      <c r="I319" s="8">
        <f>G319-H319</f>
        <v/>
      </c>
      <c r="J319" s="11">
        <f>IF(G319=0,0,MIN(1,I319/G319))</f>
        <v/>
      </c>
    </row>
    <row r="320">
      <c r="A320" t="inlineStr">
        <is>
          <t>IMB0026921</t>
        </is>
      </c>
      <c r="B320" t="inlineStr">
        <is>
          <t>Sonda Hunter Queen</t>
        </is>
      </c>
      <c r="C320" t="inlineStr">
        <is>
          <t>Prio Forte</t>
        </is>
      </c>
      <c r="D320" t="inlineStr">
        <is>
          <t>Frade</t>
        </is>
      </c>
      <c r="E320" t="inlineStr">
        <is>
          <t>Mesa rotativa</t>
        </is>
      </c>
      <c r="F320" t="inlineStr">
        <is>
          <t>Amostral</t>
        </is>
      </c>
      <c r="G320" s="8" t="n">
        <v>358394.54</v>
      </c>
      <c r="H320" s="8" t="n">
        <v>358394.54</v>
      </c>
      <c r="I320" s="8">
        <f>G320-H320</f>
        <v/>
      </c>
      <c r="J320" s="11">
        <f>IF(G320=0,0,MIN(1,I320/G320))</f>
        <v/>
      </c>
    </row>
    <row r="321">
      <c r="A321" t="inlineStr">
        <is>
          <t>IMB0027018</t>
        </is>
      </c>
      <c r="B321" t="inlineStr">
        <is>
          <t>Sonda Hunter Queen</t>
        </is>
      </c>
      <c r="C321" t="inlineStr">
        <is>
          <t>Prio Forte</t>
        </is>
      </c>
      <c r="D321" t="inlineStr">
        <is>
          <t>Frade</t>
        </is>
      </c>
      <c r="E321" t="inlineStr">
        <is>
          <t>Tubos de perfuração (lote)</t>
        </is>
      </c>
      <c r="F321" t="inlineStr">
        <is>
          <t>Amostral</t>
        </is>
      </c>
      <c r="G321" s="8" t="n">
        <v>248063.63</v>
      </c>
      <c r="H321" s="8" t="n">
        <v>248063.63</v>
      </c>
      <c r="I321" s="8">
        <f>G321-H321</f>
        <v/>
      </c>
      <c r="J321" s="11">
        <f>IF(G321=0,0,MIN(1,I321/G321))</f>
        <v/>
      </c>
    </row>
    <row r="322">
      <c r="A322" t="inlineStr">
        <is>
          <t>IMB0027113</t>
        </is>
      </c>
      <c r="B322" t="inlineStr">
        <is>
          <t>Sonda Hunter Queen</t>
        </is>
      </c>
      <c r="C322" t="inlineStr">
        <is>
          <t>Prio Forte</t>
        </is>
      </c>
      <c r="D322" t="inlineStr">
        <is>
          <t>Frade</t>
        </is>
      </c>
      <c r="E322" t="inlineStr">
        <is>
          <t>Torre de perfuração</t>
        </is>
      </c>
      <c r="F322" t="inlineStr">
        <is>
          <t>Amostral</t>
        </is>
      </c>
      <c r="G322" s="8" t="n">
        <v>1203718.17</v>
      </c>
      <c r="H322" s="8" t="n">
        <v>1203718.17</v>
      </c>
      <c r="I322" s="8">
        <f>G322-H322</f>
        <v/>
      </c>
      <c r="J322" s="11">
        <f>IF(G322=0,0,MIN(1,I322/G322))</f>
        <v/>
      </c>
    </row>
    <row r="323">
      <c r="A323" t="inlineStr">
        <is>
          <t>IMB0027191</t>
        </is>
      </c>
      <c r="B323" t="inlineStr">
        <is>
          <t>Sonda Hunter Queen</t>
        </is>
      </c>
      <c r="C323" t="inlineStr">
        <is>
          <t>Prio Forte</t>
        </is>
      </c>
      <c r="D323" t="inlineStr">
        <is>
          <t>Frade</t>
        </is>
      </c>
      <c r="E323" t="inlineStr">
        <is>
          <t>Mesa rotativa</t>
        </is>
      </c>
      <c r="F323" t="inlineStr">
        <is>
          <t>Amostral</t>
        </is>
      </c>
      <c r="G323" s="8" t="n">
        <v>835039.8100000001</v>
      </c>
      <c r="H323" s="8" t="n">
        <v>835039.8100000001</v>
      </c>
      <c r="I323" s="8">
        <f>G323-H323</f>
        <v/>
      </c>
      <c r="J323" s="11">
        <f>IF(G323=0,0,MIN(1,I323/G323))</f>
        <v/>
      </c>
    </row>
    <row r="324">
      <c r="A324" t="inlineStr">
        <is>
          <t>IMB0027291</t>
        </is>
      </c>
      <c r="B324" t="inlineStr">
        <is>
          <t>Sonda Hunter Queen</t>
        </is>
      </c>
      <c r="C324" t="inlineStr">
        <is>
          <t>Prio Forte</t>
        </is>
      </c>
      <c r="D324" t="inlineStr">
        <is>
          <t>Frade</t>
        </is>
      </c>
      <c r="E324" t="inlineStr">
        <is>
          <t>BOP - preventor de erupção</t>
        </is>
      </c>
      <c r="F324" t="inlineStr">
        <is>
          <t>Amostral</t>
        </is>
      </c>
      <c r="G324" s="8" t="n">
        <v>2384258.09</v>
      </c>
      <c r="H324" s="8" t="n">
        <v>2384258.09</v>
      </c>
      <c r="I324" s="8">
        <f>G324-H324</f>
        <v/>
      </c>
      <c r="J324" s="11">
        <f>IF(G324=0,0,MIN(1,I324/G324))</f>
        <v/>
      </c>
    </row>
    <row r="325">
      <c r="A325" t="inlineStr">
        <is>
          <t>IMB0027368</t>
        </is>
      </c>
      <c r="B325" t="inlineStr">
        <is>
          <t>Sonda Hunter Queen</t>
        </is>
      </c>
      <c r="C325" t="inlineStr">
        <is>
          <t>Prio Forte</t>
        </is>
      </c>
      <c r="D325" t="inlineStr">
        <is>
          <t>Frade</t>
        </is>
      </c>
      <c r="E325" t="inlineStr">
        <is>
          <t>Torre de perfuração</t>
        </is>
      </c>
      <c r="F325" t="inlineStr">
        <is>
          <t>Amostral</t>
        </is>
      </c>
      <c r="G325" s="8" t="n">
        <v>2435354.01</v>
      </c>
      <c r="H325" s="8" t="n">
        <v>2435354.01</v>
      </c>
      <c r="I325" s="8">
        <f>G325-H325</f>
        <v/>
      </c>
      <c r="J325" s="11">
        <f>IF(G325=0,0,MIN(1,I325/G325))</f>
        <v/>
      </c>
    </row>
    <row r="326">
      <c r="A326" t="inlineStr">
        <is>
          <t>IMB0027475</t>
        </is>
      </c>
      <c r="B326" t="inlineStr">
        <is>
          <t>Sonda Hunter Queen</t>
        </is>
      </c>
      <c r="C326" t="inlineStr">
        <is>
          <t>Prio Forte</t>
        </is>
      </c>
      <c r="D326" t="inlineStr">
        <is>
          <t>Frade</t>
        </is>
      </c>
      <c r="E326" t="inlineStr">
        <is>
          <t>BOP - preventor de erupção</t>
        </is>
      </c>
      <c r="F326" t="inlineStr">
        <is>
          <t>Amostral</t>
        </is>
      </c>
      <c r="G326" s="8" t="n">
        <v>390507.19</v>
      </c>
      <c r="H326" s="8" t="n">
        <v>390507.19</v>
      </c>
      <c r="I326" s="8">
        <f>G326-H326</f>
        <v/>
      </c>
      <c r="J326" s="11">
        <f>IF(G326=0,0,MIN(1,I326/G326))</f>
        <v/>
      </c>
    </row>
    <row r="327">
      <c r="A327" t="inlineStr">
        <is>
          <t>IMB0027604</t>
        </is>
      </c>
      <c r="B327" t="inlineStr">
        <is>
          <t>Sonda Hunter Queen</t>
        </is>
      </c>
      <c r="C327" t="inlineStr">
        <is>
          <t>Prio Forte</t>
        </is>
      </c>
      <c r="D327" t="inlineStr">
        <is>
          <t>Frade</t>
        </is>
      </c>
      <c r="E327" t="inlineStr">
        <is>
          <t>Top drive</t>
        </is>
      </c>
      <c r="F327" t="inlineStr">
        <is>
          <t>Amostral</t>
        </is>
      </c>
      <c r="G327" s="8" t="n">
        <v>71499.86</v>
      </c>
      <c r="H327" s="8" t="n">
        <v>71499.86</v>
      </c>
      <c r="I327" s="8">
        <f>G327-H327</f>
        <v/>
      </c>
      <c r="J327" s="11">
        <f>IF(G327=0,0,MIN(1,I327/G327))</f>
        <v/>
      </c>
    </row>
    <row r="328">
      <c r="A328" t="inlineStr">
        <is>
          <t>IMB0027684</t>
        </is>
      </c>
      <c r="B328" t="inlineStr">
        <is>
          <t>Sonda Hunter Queen</t>
        </is>
      </c>
      <c r="C328" t="inlineStr">
        <is>
          <t>Prio Forte</t>
        </is>
      </c>
      <c r="D328" t="inlineStr">
        <is>
          <t>Frade</t>
        </is>
      </c>
      <c r="E328" t="inlineStr">
        <is>
          <t>Torre de perfuração</t>
        </is>
      </c>
      <c r="F328" t="inlineStr">
        <is>
          <t>Amostral</t>
        </is>
      </c>
      <c r="G328" s="8" t="n">
        <v>17394401.22</v>
      </c>
      <c r="H328" s="8" t="n">
        <v>17394401.22</v>
      </c>
      <c r="I328" s="8">
        <f>G328-H328</f>
        <v/>
      </c>
      <c r="J328" s="11">
        <f>IF(G328=0,0,MIN(1,I328/G328))</f>
        <v/>
      </c>
    </row>
    <row r="329">
      <c r="A329" t="inlineStr">
        <is>
          <t>IMB0027737</t>
        </is>
      </c>
      <c r="B329" t="inlineStr">
        <is>
          <t>Sonda Hunter Queen</t>
        </is>
      </c>
      <c r="C329" t="inlineStr">
        <is>
          <t>Prio Forte</t>
        </is>
      </c>
      <c r="D329" t="inlineStr">
        <is>
          <t>Frade</t>
        </is>
      </c>
      <c r="E329" t="inlineStr">
        <is>
          <t>Bomba de lama</t>
        </is>
      </c>
      <c r="F329" t="inlineStr">
        <is>
          <t>Amostral</t>
        </is>
      </c>
      <c r="G329" s="8" t="n">
        <v>512130.12</v>
      </c>
      <c r="H329" s="8" t="n">
        <v>512130.12</v>
      </c>
      <c r="I329" s="8">
        <f>G329-H329</f>
        <v/>
      </c>
      <c r="J329" s="11">
        <f>IF(G329=0,0,MIN(1,I329/G329))</f>
        <v/>
      </c>
    </row>
    <row r="330">
      <c r="A330" t="inlineStr">
        <is>
          <t>IMB0027793</t>
        </is>
      </c>
      <c r="B330" t="inlineStr">
        <is>
          <t>Sonda Hunter Queen</t>
        </is>
      </c>
      <c r="C330" t="inlineStr">
        <is>
          <t>Prio Forte</t>
        </is>
      </c>
      <c r="D330" t="inlineStr">
        <is>
          <t>Frade</t>
        </is>
      </c>
      <c r="E330" t="inlineStr">
        <is>
          <t>Mesa rotativa</t>
        </is>
      </c>
      <c r="F330" t="inlineStr">
        <is>
          <t>Amostral</t>
        </is>
      </c>
      <c r="G330" s="8" t="n">
        <v>1247510.13</v>
      </c>
      <c r="H330" s="8" t="n">
        <v>1247510.13</v>
      </c>
      <c r="I330" s="8">
        <f>G330-H330</f>
        <v/>
      </c>
      <c r="J330" s="11">
        <f>IF(G330=0,0,MIN(1,I330/G330))</f>
        <v/>
      </c>
    </row>
    <row r="331">
      <c r="A331" t="inlineStr">
        <is>
          <t>IMB0027902</t>
        </is>
      </c>
      <c r="B331" t="inlineStr">
        <is>
          <t>Sonda Hunter Queen</t>
        </is>
      </c>
      <c r="C331" t="inlineStr">
        <is>
          <t>Prio Forte</t>
        </is>
      </c>
      <c r="D331" t="inlineStr">
        <is>
          <t>Frade</t>
        </is>
      </c>
      <c r="E331" t="inlineStr">
        <is>
          <t>Bomba de lama</t>
        </is>
      </c>
      <c r="F331" t="inlineStr">
        <is>
          <t>Amostral</t>
        </is>
      </c>
      <c r="G331" s="8" t="n">
        <v>1031294.48</v>
      </c>
      <c r="H331" s="8" t="n">
        <v>1031294.48</v>
      </c>
      <c r="I331" s="8">
        <f>G331-H331</f>
        <v/>
      </c>
      <c r="J331" s="11">
        <f>IF(G331=0,0,MIN(1,I331/G331))</f>
        <v/>
      </c>
    </row>
    <row r="332">
      <c r="A332" t="inlineStr">
        <is>
          <t>IMB0027995</t>
        </is>
      </c>
      <c r="B332" t="inlineStr">
        <is>
          <t>Sonda Hunter Queen</t>
        </is>
      </c>
      <c r="C332" t="inlineStr">
        <is>
          <t>Prio Forte</t>
        </is>
      </c>
      <c r="D332" t="inlineStr">
        <is>
          <t>Frade</t>
        </is>
      </c>
      <c r="E332" t="inlineStr">
        <is>
          <t>Top drive</t>
        </is>
      </c>
      <c r="F332" t="inlineStr">
        <is>
          <t>Amostral</t>
        </is>
      </c>
      <c r="G332" s="8" t="n">
        <v>1675515.27</v>
      </c>
      <c r="H332" s="8" t="n">
        <v>1675515.27</v>
      </c>
      <c r="I332" s="8">
        <f>G332-H332</f>
        <v/>
      </c>
      <c r="J332" s="11">
        <f>IF(G332=0,0,MIN(1,I332/G332))</f>
        <v/>
      </c>
    </row>
    <row r="333">
      <c r="A333" t="inlineStr">
        <is>
          <t>IMB0028091</t>
        </is>
      </c>
      <c r="B333" t="inlineStr">
        <is>
          <t>Sonda Hunter Queen</t>
        </is>
      </c>
      <c r="C333" t="inlineStr">
        <is>
          <t>Prio Forte</t>
        </is>
      </c>
      <c r="D333" t="inlineStr">
        <is>
          <t>Frade</t>
        </is>
      </c>
      <c r="E333" t="inlineStr">
        <is>
          <t>Torre de perfuração</t>
        </is>
      </c>
      <c r="F333" t="inlineStr">
        <is>
          <t>Amostral</t>
        </is>
      </c>
      <c r="G333" s="8" t="n">
        <v>261010.72</v>
      </c>
      <c r="H333" s="8" t="n">
        <v>261010.72</v>
      </c>
      <c r="I333" s="8">
        <f>G333-H333</f>
        <v/>
      </c>
      <c r="J333" s="11">
        <f>IF(G333=0,0,MIN(1,I333/G333))</f>
        <v/>
      </c>
    </row>
    <row r="334">
      <c r="A334" t="inlineStr">
        <is>
          <t>IMB0028180</t>
        </is>
      </c>
      <c r="B334" t="inlineStr">
        <is>
          <t>Sonda Hunter Queen</t>
        </is>
      </c>
      <c r="C334" t="inlineStr">
        <is>
          <t>Prio Forte</t>
        </is>
      </c>
      <c r="D334" t="inlineStr">
        <is>
          <t>Frade</t>
        </is>
      </c>
      <c r="E334" t="inlineStr">
        <is>
          <t>Sistema de controle de poço</t>
        </is>
      </c>
      <c r="F334" t="inlineStr">
        <is>
          <t>Amostral</t>
        </is>
      </c>
      <c r="G334" s="8" t="n">
        <v>242109.8</v>
      </c>
      <c r="H334" s="8" t="n">
        <v>242109.8</v>
      </c>
      <c r="I334" s="8">
        <f>G334-H334</f>
        <v/>
      </c>
      <c r="J334" s="11">
        <f>IF(G334=0,0,MIN(1,I334/G334))</f>
        <v/>
      </c>
    </row>
    <row r="335">
      <c r="A335" t="inlineStr">
        <is>
          <t>IMB0028271</t>
        </is>
      </c>
      <c r="B335" t="inlineStr">
        <is>
          <t>Sonda Hunter Queen</t>
        </is>
      </c>
      <c r="C335" t="inlineStr">
        <is>
          <t>Prio Forte</t>
        </is>
      </c>
      <c r="D335" t="inlineStr">
        <is>
          <t>Frade</t>
        </is>
      </c>
      <c r="E335" t="inlineStr">
        <is>
          <t>Bomba de lama</t>
        </is>
      </c>
      <c r="F335" t="inlineStr">
        <is>
          <t>Amostral</t>
        </is>
      </c>
      <c r="G335" s="8" t="n">
        <v>875346.25</v>
      </c>
      <c r="H335" s="8" t="n">
        <v>875346.25</v>
      </c>
      <c r="I335" s="8">
        <f>G335-H335</f>
        <v/>
      </c>
      <c r="J335" s="11">
        <f>IF(G335=0,0,MIN(1,I335/G335))</f>
        <v/>
      </c>
    </row>
    <row r="336">
      <c r="A336" t="inlineStr">
        <is>
          <t>IMB0028352</t>
        </is>
      </c>
      <c r="B336" t="inlineStr">
        <is>
          <t>Sonda Hunter Queen</t>
        </is>
      </c>
      <c r="C336" t="inlineStr">
        <is>
          <t>Prio Forte</t>
        </is>
      </c>
      <c r="D336" t="inlineStr">
        <is>
          <t>Frade</t>
        </is>
      </c>
      <c r="E336" t="inlineStr">
        <is>
          <t>Guincho de perfuração</t>
        </is>
      </c>
      <c r="F336" t="inlineStr">
        <is>
          <t>Amostral</t>
        </is>
      </c>
      <c r="G336" s="8" t="n">
        <v>17387.78</v>
      </c>
      <c r="H336" s="8" t="n">
        <v>17387.78</v>
      </c>
      <c r="I336" s="8">
        <f>G336-H336</f>
        <v/>
      </c>
      <c r="J336" s="11">
        <f>IF(G336=0,0,MIN(1,I336/G336))</f>
        <v/>
      </c>
    </row>
    <row r="337">
      <c r="A337" t="inlineStr">
        <is>
          <t>IMB0028416</t>
        </is>
      </c>
      <c r="B337" t="inlineStr">
        <is>
          <t>Sonda Hunter Queen</t>
        </is>
      </c>
      <c r="C337" t="inlineStr">
        <is>
          <t>Prio Forte</t>
        </is>
      </c>
      <c r="D337" t="inlineStr">
        <is>
          <t>Frade</t>
        </is>
      </c>
      <c r="E337" t="inlineStr">
        <is>
          <t>Top drive</t>
        </is>
      </c>
      <c r="F337" t="inlineStr">
        <is>
          <t>Amostral</t>
        </is>
      </c>
      <c r="G337" s="8" t="n">
        <v>2610885.72</v>
      </c>
      <c r="H337" s="8" t="n">
        <v>2610885.72</v>
      </c>
      <c r="I337" s="8">
        <f>G337-H337</f>
        <v/>
      </c>
      <c r="J337" s="11">
        <f>IF(G337=0,0,MIN(1,I337/G337))</f>
        <v/>
      </c>
    </row>
    <row r="338">
      <c r="A338" t="inlineStr">
        <is>
          <t>IMB0028506</t>
        </is>
      </c>
      <c r="B338" t="inlineStr">
        <is>
          <t>Sonda Hunter Queen</t>
        </is>
      </c>
      <c r="C338" t="inlineStr">
        <is>
          <t>Prio Forte</t>
        </is>
      </c>
      <c r="D338" t="inlineStr">
        <is>
          <t>Frade</t>
        </is>
      </c>
      <c r="E338" t="inlineStr">
        <is>
          <t>Tubos de perfuração (lote)</t>
        </is>
      </c>
      <c r="F338" t="inlineStr">
        <is>
          <t>Amostral</t>
        </is>
      </c>
      <c r="G338" s="8" t="n">
        <v>4451218.01</v>
      </c>
      <c r="H338" s="8" t="n">
        <v>4451218.01</v>
      </c>
      <c r="I338" s="8">
        <f>G338-H338</f>
        <v/>
      </c>
      <c r="J338" s="11">
        <f>IF(G338=0,0,MIN(1,I338/G338))</f>
        <v/>
      </c>
    </row>
    <row r="339">
      <c r="A339" t="inlineStr">
        <is>
          <t>IMB0028573</t>
        </is>
      </c>
      <c r="B339" t="inlineStr">
        <is>
          <t>Sonda Hunter Queen</t>
        </is>
      </c>
      <c r="C339" t="inlineStr">
        <is>
          <t>Prio Forte</t>
        </is>
      </c>
      <c r="D339" t="inlineStr">
        <is>
          <t>Frade</t>
        </is>
      </c>
      <c r="E339" t="inlineStr">
        <is>
          <t>Torre de perfuração</t>
        </is>
      </c>
      <c r="F339" t="inlineStr">
        <is>
          <t>Amostral</t>
        </is>
      </c>
      <c r="G339" s="8" t="n">
        <v>4591510</v>
      </c>
      <c r="H339" s="8" t="n">
        <v>4591510</v>
      </c>
      <c r="I339" s="8">
        <f>G339-H339</f>
        <v/>
      </c>
      <c r="J339" s="11">
        <f>IF(G339=0,0,MIN(1,I339/G339))</f>
        <v/>
      </c>
    </row>
    <row r="340">
      <c r="A340" t="inlineStr">
        <is>
          <t>IMB0028623</t>
        </is>
      </c>
      <c r="B340" t="inlineStr">
        <is>
          <t>Sonda Hunter Queen</t>
        </is>
      </c>
      <c r="C340" t="inlineStr">
        <is>
          <t>Prio Forte</t>
        </is>
      </c>
      <c r="D340" t="inlineStr">
        <is>
          <t>Frade</t>
        </is>
      </c>
      <c r="E340" t="inlineStr">
        <is>
          <t>Tubos de perfuração (lote)</t>
        </is>
      </c>
      <c r="F340" t="inlineStr">
        <is>
          <t>Amostral</t>
        </is>
      </c>
      <c r="G340" s="8" t="n">
        <v>7618311.62</v>
      </c>
      <c r="H340" s="8" t="n">
        <v>7618311.62</v>
      </c>
      <c r="I340" s="8">
        <f>G340-H340</f>
        <v/>
      </c>
      <c r="J340" s="11">
        <f>IF(G340=0,0,MIN(1,I340/G340))</f>
        <v/>
      </c>
    </row>
    <row r="341">
      <c r="A341" t="inlineStr">
        <is>
          <t>IMB0028699</t>
        </is>
      </c>
      <c r="B341" t="inlineStr">
        <is>
          <t>Sonda Hunter Queen</t>
        </is>
      </c>
      <c r="C341" t="inlineStr">
        <is>
          <t>Prio Forte</t>
        </is>
      </c>
      <c r="D341" t="inlineStr">
        <is>
          <t>Frade</t>
        </is>
      </c>
      <c r="E341" t="inlineStr">
        <is>
          <t>Top drive</t>
        </is>
      </c>
      <c r="F341" t="inlineStr">
        <is>
          <t>Amostral</t>
        </is>
      </c>
      <c r="G341" s="8" t="n">
        <v>2545232.41</v>
      </c>
      <c r="H341" s="8" t="n">
        <v>2545232.41</v>
      </c>
      <c r="I341" s="8">
        <f>G341-H341</f>
        <v/>
      </c>
      <c r="J341" s="11">
        <f>IF(G341=0,0,MIN(1,I341/G341))</f>
        <v/>
      </c>
    </row>
    <row r="342">
      <c r="A342" t="inlineStr">
        <is>
          <t>IMB0028737</t>
        </is>
      </c>
      <c r="B342" t="inlineStr">
        <is>
          <t>Sonda Hunter Queen</t>
        </is>
      </c>
      <c r="C342" t="inlineStr">
        <is>
          <t>Prio Forte</t>
        </is>
      </c>
      <c r="D342" t="inlineStr">
        <is>
          <t>Frade</t>
        </is>
      </c>
      <c r="E342" t="inlineStr">
        <is>
          <t>Tubos de perfuração (lote)</t>
        </is>
      </c>
      <c r="F342" t="inlineStr">
        <is>
          <t>Amostral</t>
        </is>
      </c>
      <c r="G342" s="8" t="n">
        <v>2302663.98</v>
      </c>
      <c r="H342" s="8" t="n">
        <v>2302663.98</v>
      </c>
      <c r="I342" s="8">
        <f>G342-H342</f>
        <v/>
      </c>
      <c r="J342" s="11">
        <f>IF(G342=0,0,MIN(1,I342/G342))</f>
        <v/>
      </c>
    </row>
    <row r="343">
      <c r="A343" t="inlineStr">
        <is>
          <t>IMB0028835</t>
        </is>
      </c>
      <c r="B343" t="inlineStr">
        <is>
          <t>Sonda Hunter Queen</t>
        </is>
      </c>
      <c r="C343" t="inlineStr">
        <is>
          <t>Prio Forte</t>
        </is>
      </c>
      <c r="D343" t="inlineStr">
        <is>
          <t>Frade</t>
        </is>
      </c>
      <c r="E343" t="inlineStr">
        <is>
          <t>Top drive</t>
        </is>
      </c>
      <c r="F343" t="inlineStr">
        <is>
          <t>Amostral</t>
        </is>
      </c>
      <c r="G343" s="8" t="n">
        <v>1458269.45</v>
      </c>
      <c r="H343" s="8" t="n">
        <v>1458269.45</v>
      </c>
      <c r="I343" s="8">
        <f>G343-H343</f>
        <v/>
      </c>
      <c r="J343" s="11">
        <f>IF(G343=0,0,MIN(1,I343/G343))</f>
        <v/>
      </c>
    </row>
    <row r="344">
      <c r="A344" t="inlineStr">
        <is>
          <t>IMB0028910</t>
        </is>
      </c>
      <c r="B344" t="inlineStr">
        <is>
          <t>Sonda Hunter Queen</t>
        </is>
      </c>
      <c r="C344" t="inlineStr">
        <is>
          <t>Prio Forte</t>
        </is>
      </c>
      <c r="D344" t="inlineStr">
        <is>
          <t>Frade</t>
        </is>
      </c>
      <c r="E344" t="inlineStr">
        <is>
          <t>Tubos de perfuração (lote)</t>
        </is>
      </c>
      <c r="F344" t="inlineStr">
        <is>
          <t>Amostral</t>
        </is>
      </c>
      <c r="G344" s="8" t="n">
        <v>1980779.25</v>
      </c>
      <c r="H344" s="8" t="n">
        <v>1980779.25</v>
      </c>
      <c r="I344" s="8">
        <f>G344-H344</f>
        <v/>
      </c>
      <c r="J344" s="11">
        <f>IF(G344=0,0,MIN(1,I344/G344))</f>
        <v/>
      </c>
    </row>
    <row r="345">
      <c r="A345" t="inlineStr">
        <is>
          <t>IMB0028990</t>
        </is>
      </c>
      <c r="B345" t="inlineStr">
        <is>
          <t>Sonda Hunter Queen</t>
        </is>
      </c>
      <c r="C345" t="inlineStr">
        <is>
          <t>Prio Forte</t>
        </is>
      </c>
      <c r="D345" t="inlineStr">
        <is>
          <t>Frade</t>
        </is>
      </c>
      <c r="E345" t="inlineStr">
        <is>
          <t>Torre de perfuração</t>
        </is>
      </c>
      <c r="F345" t="inlineStr">
        <is>
          <t>Amostral</t>
        </is>
      </c>
      <c r="G345" s="8" t="n">
        <v>619903.41</v>
      </c>
      <c r="H345" s="8" t="n">
        <v>619903.41</v>
      </c>
      <c r="I345" s="8">
        <f>G345-H345</f>
        <v/>
      </c>
      <c r="J345" s="11">
        <f>IF(G345=0,0,MIN(1,I345/G345))</f>
        <v/>
      </c>
    </row>
    <row r="346">
      <c r="A346" t="inlineStr">
        <is>
          <t>IMB0029154</t>
        </is>
      </c>
      <c r="B346" t="inlineStr">
        <is>
          <t>Ativos de Óleo e Gás - Frade</t>
        </is>
      </c>
      <c r="C346" t="inlineStr">
        <is>
          <t>Prio Forte</t>
        </is>
      </c>
      <c r="D346" t="inlineStr">
        <is>
          <t>Frade</t>
        </is>
      </c>
      <c r="E346" t="inlineStr">
        <is>
          <t>Custo de abandono capitalizado (ARO)</t>
        </is>
      </c>
      <c r="F346" t="inlineStr">
        <is>
          <t>Amostral</t>
        </is>
      </c>
      <c r="G346" s="8" t="n">
        <v>160725.65</v>
      </c>
      <c r="H346" s="8" t="n">
        <v>160725.65</v>
      </c>
      <c r="I346" s="8">
        <f>G346-H346</f>
        <v/>
      </c>
      <c r="J346" s="11">
        <f>IF(G346=0,0,MIN(1,I346/G346))</f>
        <v/>
      </c>
    </row>
    <row r="347">
      <c r="A347" t="inlineStr">
        <is>
          <t>IMB0029288</t>
        </is>
      </c>
      <c r="B347" t="inlineStr">
        <is>
          <t>Ativos de Óleo e Gás - Frade</t>
        </is>
      </c>
      <c r="C347" t="inlineStr">
        <is>
          <t>Prio Forte</t>
        </is>
      </c>
      <c r="D347" t="inlineStr">
        <is>
          <t>Frade</t>
        </is>
      </c>
      <c r="E347" t="inlineStr">
        <is>
          <t>Poço injetor - perfuração</t>
        </is>
      </c>
      <c r="F347" t="inlineStr">
        <is>
          <t>Amostral</t>
        </is>
      </c>
      <c r="G347" s="8" t="n">
        <v>998006.37</v>
      </c>
      <c r="H347" s="8" t="n">
        <v>998006.37</v>
      </c>
      <c r="I347" s="8">
        <f>G347-H347</f>
        <v/>
      </c>
      <c r="J347" s="11">
        <f>IF(G347=0,0,MIN(1,I347/G347))</f>
        <v/>
      </c>
    </row>
    <row r="348">
      <c r="A348" t="inlineStr">
        <is>
          <t>IMB0029443</t>
        </is>
      </c>
      <c r="B348" t="inlineStr">
        <is>
          <t>Ativos de Óleo e Gás - Frade</t>
        </is>
      </c>
      <c r="C348" t="inlineStr">
        <is>
          <t>Prio Forte</t>
        </is>
      </c>
      <c r="D348" t="inlineStr">
        <is>
          <t>Frade</t>
        </is>
      </c>
      <c r="E348" t="inlineStr">
        <is>
          <t>Linha flexível de produção</t>
        </is>
      </c>
      <c r="F348" t="inlineStr">
        <is>
          <t>Amostral</t>
        </is>
      </c>
      <c r="G348" s="8" t="n">
        <v>417472.46</v>
      </c>
      <c r="H348" s="8" t="n">
        <v>417472.46</v>
      </c>
      <c r="I348" s="8">
        <f>G348-H348</f>
        <v/>
      </c>
      <c r="J348" s="11">
        <f>IF(G348=0,0,MIN(1,I348/G348))</f>
        <v/>
      </c>
    </row>
    <row r="349">
      <c r="A349" t="inlineStr">
        <is>
          <t>IMB0029634</t>
        </is>
      </c>
      <c r="B349" t="inlineStr">
        <is>
          <t>Ativos de Óleo e Gás - Frade</t>
        </is>
      </c>
      <c r="C349" t="inlineStr">
        <is>
          <t>Prio Bravo</t>
        </is>
      </c>
      <c r="D349" t="inlineStr">
        <is>
          <t>Frade</t>
        </is>
      </c>
      <c r="E349" t="inlineStr">
        <is>
          <t>Poço produtor - perfuração</t>
        </is>
      </c>
      <c r="F349" t="inlineStr">
        <is>
          <t>Amostral</t>
        </is>
      </c>
      <c r="G349" s="8" t="n">
        <v>200724.39</v>
      </c>
      <c r="H349" s="8" t="n">
        <v>200724.39</v>
      </c>
      <c r="I349" s="8">
        <f>G349-H349</f>
        <v/>
      </c>
      <c r="J349" s="11">
        <f>IF(G349=0,0,MIN(1,I349/G349))</f>
        <v/>
      </c>
    </row>
    <row r="350">
      <c r="A350" t="inlineStr">
        <is>
          <t>IMB0029871</t>
        </is>
      </c>
      <c r="B350" t="inlineStr">
        <is>
          <t>Ativos de Óleo e Gás - Frade</t>
        </is>
      </c>
      <c r="C350" t="inlineStr">
        <is>
          <t>Prio Forte</t>
        </is>
      </c>
      <c r="D350" t="inlineStr">
        <is>
          <t>Frade</t>
        </is>
      </c>
      <c r="E350" t="inlineStr">
        <is>
          <t>Poço produtor - perfuração</t>
        </is>
      </c>
      <c r="F350" t="inlineStr">
        <is>
          <t>Amostral</t>
        </is>
      </c>
      <c r="G350" s="8" t="n">
        <v>899963.6</v>
      </c>
      <c r="H350" s="8" t="n">
        <v>899963.6</v>
      </c>
      <c r="I350" s="8">
        <f>G350-H350</f>
        <v/>
      </c>
      <c r="J350" s="11">
        <f>IF(G350=0,0,MIN(1,I350/G350))</f>
        <v/>
      </c>
    </row>
    <row r="351">
      <c r="A351" t="inlineStr">
        <is>
          <t>IMB0030088</t>
        </is>
      </c>
      <c r="B351" t="inlineStr">
        <is>
          <t>Ativos de Óleo e Gás - Frade</t>
        </is>
      </c>
      <c r="C351" t="inlineStr">
        <is>
          <t>Prio Bravo</t>
        </is>
      </c>
      <c r="D351" t="inlineStr">
        <is>
          <t>Frade</t>
        </is>
      </c>
      <c r="E351" t="inlineStr">
        <is>
          <t>Riser flexível</t>
        </is>
      </c>
      <c r="F351" t="inlineStr">
        <is>
          <t>Amostral</t>
        </is>
      </c>
      <c r="G351" s="8" t="n">
        <v>309884.56</v>
      </c>
      <c r="H351" s="8" t="n">
        <v>309884.56</v>
      </c>
      <c r="I351" s="8">
        <f>G351-H351</f>
        <v/>
      </c>
      <c r="J351" s="11">
        <f>IF(G351=0,0,MIN(1,I351/G351))</f>
        <v/>
      </c>
    </row>
    <row r="352">
      <c r="A352" t="inlineStr">
        <is>
          <t>IMB0030283</t>
        </is>
      </c>
      <c r="B352" t="inlineStr">
        <is>
          <t>Ativos de Óleo e Gás - Frade</t>
        </is>
      </c>
      <c r="C352" t="inlineStr">
        <is>
          <t>Prio Forte</t>
        </is>
      </c>
      <c r="D352" t="inlineStr">
        <is>
          <t>Frade</t>
        </is>
      </c>
      <c r="E352" t="inlineStr">
        <is>
          <t>Sistema de gas lift</t>
        </is>
      </c>
      <c r="F352" t="inlineStr">
        <is>
          <t>Amostral</t>
        </is>
      </c>
      <c r="G352" s="8" t="n">
        <v>83988.56</v>
      </c>
      <c r="H352" s="8" t="n">
        <v>83988.56</v>
      </c>
      <c r="I352" s="8">
        <f>G352-H352</f>
        <v/>
      </c>
      <c r="J352" s="11">
        <f>IF(G352=0,0,MIN(1,I352/G352))</f>
        <v/>
      </c>
    </row>
    <row r="353">
      <c r="A353" t="inlineStr">
        <is>
          <t>IMB0030480</t>
        </is>
      </c>
      <c r="B353" t="inlineStr">
        <is>
          <t>Ativos de Óleo e Gás - Frade</t>
        </is>
      </c>
      <c r="C353" t="inlineStr">
        <is>
          <t>Prio Forte</t>
        </is>
      </c>
      <c r="D353" t="inlineStr">
        <is>
          <t>Frade</t>
        </is>
      </c>
      <c r="E353" t="inlineStr">
        <is>
          <t>Poço produtor - completação</t>
        </is>
      </c>
      <c r="F353" t="inlineStr">
        <is>
          <t>Amostral</t>
        </is>
      </c>
      <c r="G353" s="8" t="n">
        <v>5239525.77</v>
      </c>
      <c r="H353" s="8" t="n">
        <v>5239525.77</v>
      </c>
      <c r="I353" s="8">
        <f>G353-H353</f>
        <v/>
      </c>
      <c r="J353" s="11">
        <f>IF(G353=0,0,MIN(1,I353/G353))</f>
        <v/>
      </c>
    </row>
    <row r="354">
      <c r="A354" t="inlineStr">
        <is>
          <t>IMB0030693</t>
        </is>
      </c>
      <c r="B354" t="inlineStr">
        <is>
          <t>Ativos de Óleo e Gás - Frade</t>
        </is>
      </c>
      <c r="C354" t="inlineStr">
        <is>
          <t>Prio Forte</t>
        </is>
      </c>
      <c r="D354" t="inlineStr">
        <is>
          <t>Frade</t>
        </is>
      </c>
      <c r="E354" t="inlineStr">
        <is>
          <t>Poço injetor - perfuração</t>
        </is>
      </c>
      <c r="F354" t="inlineStr">
        <is>
          <t>Amostral</t>
        </is>
      </c>
      <c r="G354" s="8" t="n">
        <v>316269.58</v>
      </c>
      <c r="H354" s="8" t="n">
        <v>316269.58</v>
      </c>
      <c r="I354" s="8">
        <f>G354-H354</f>
        <v/>
      </c>
      <c r="J354" s="11">
        <f>IF(G354=0,0,MIN(1,I354/G354))</f>
        <v/>
      </c>
    </row>
    <row r="355">
      <c r="A355" t="inlineStr">
        <is>
          <t>IMB0030721</t>
        </is>
      </c>
      <c r="B355" t="inlineStr">
        <is>
          <t>Ativos de Óleo e Gás - Frade</t>
        </is>
      </c>
      <c r="C355" t="inlineStr">
        <is>
          <t>Prio Forte</t>
        </is>
      </c>
      <c r="D355" t="inlineStr">
        <is>
          <t>Frade</t>
        </is>
      </c>
      <c r="E355" t="inlineStr">
        <is>
          <t>Umbilical eletro-hidráulico</t>
        </is>
      </c>
      <c r="F355" t="inlineStr">
        <is>
          <t>Amostral</t>
        </is>
      </c>
      <c r="G355" s="8" t="n">
        <v>25147282.23</v>
      </c>
      <c r="H355" s="8" t="n">
        <v>25147282.23</v>
      </c>
      <c r="I355" s="8">
        <f>G355-H355</f>
        <v/>
      </c>
      <c r="J355" s="11">
        <f>IF(G355=0,0,MIN(1,I355/G355))</f>
        <v/>
      </c>
    </row>
    <row r="356">
      <c r="A356" t="inlineStr">
        <is>
          <t>IMB0030894</t>
        </is>
      </c>
      <c r="B356" t="inlineStr">
        <is>
          <t>Ativos de Óleo e Gás - Frade</t>
        </is>
      </c>
      <c r="C356" t="inlineStr">
        <is>
          <t>Prio Forte</t>
        </is>
      </c>
      <c r="D356" t="inlineStr">
        <is>
          <t>Frade</t>
        </is>
      </c>
      <c r="E356" t="inlineStr">
        <is>
          <t>Umbilical eletro-hidráulico</t>
        </is>
      </c>
      <c r="F356" t="inlineStr">
        <is>
          <t>Amostral</t>
        </is>
      </c>
      <c r="G356" s="8" t="n">
        <v>1758024.2</v>
      </c>
      <c r="H356" s="8" t="n">
        <v>1758024.2</v>
      </c>
      <c r="I356" s="8">
        <f>G356-H356</f>
        <v/>
      </c>
      <c r="J356" s="11">
        <f>IF(G356=0,0,MIN(1,I356/G356))</f>
        <v/>
      </c>
    </row>
    <row r="357">
      <c r="A357" t="inlineStr">
        <is>
          <t>IMB0031156</t>
        </is>
      </c>
      <c r="B357" t="inlineStr">
        <is>
          <t>Ativos de Óleo e Gás - Frade</t>
        </is>
      </c>
      <c r="C357" t="inlineStr">
        <is>
          <t>Prio Forte</t>
        </is>
      </c>
      <c r="D357" t="inlineStr">
        <is>
          <t>Frade</t>
        </is>
      </c>
      <c r="E357" t="inlineStr">
        <is>
          <t>Linha flexível de produção</t>
        </is>
      </c>
      <c r="F357" t="inlineStr">
        <is>
          <t>Amostral</t>
        </is>
      </c>
      <c r="G357" s="8" t="n">
        <v>50543.97</v>
      </c>
      <c r="H357" s="8" t="n">
        <v>50543.97</v>
      </c>
      <c r="I357" s="8">
        <f>G357-H357</f>
        <v/>
      </c>
      <c r="J357" s="11">
        <f>IF(G357=0,0,MIN(1,I357/G357))</f>
        <v/>
      </c>
    </row>
    <row r="358">
      <c r="A358" t="inlineStr">
        <is>
          <t>IMB0031310</t>
        </is>
      </c>
      <c r="B358" t="inlineStr">
        <is>
          <t>Ativos de Óleo e Gás - Frade</t>
        </is>
      </c>
      <c r="C358" t="inlineStr">
        <is>
          <t>Prio Forte</t>
        </is>
      </c>
      <c r="D358" t="inlineStr">
        <is>
          <t>Frade</t>
        </is>
      </c>
      <c r="E358" t="inlineStr">
        <is>
          <t>Manifold submarino</t>
        </is>
      </c>
      <c r="F358" t="inlineStr">
        <is>
          <t>Amostral</t>
        </is>
      </c>
      <c r="G358" s="8" t="n">
        <v>2453146.09</v>
      </c>
      <c r="H358" s="8" t="n">
        <v>2453146.09</v>
      </c>
      <c r="I358" s="8">
        <f>G358-H358</f>
        <v/>
      </c>
      <c r="J358" s="11">
        <f>IF(G358=0,0,MIN(1,I358/G358))</f>
        <v/>
      </c>
    </row>
    <row r="359">
      <c r="A359" t="inlineStr">
        <is>
          <t>IMB0031501</t>
        </is>
      </c>
      <c r="B359" t="inlineStr">
        <is>
          <t>Ativos de Óleo e Gás - Frade</t>
        </is>
      </c>
      <c r="C359" t="inlineStr">
        <is>
          <t>Prio Bravo</t>
        </is>
      </c>
      <c r="D359" t="inlineStr">
        <is>
          <t>Frade</t>
        </is>
      </c>
      <c r="E359" t="inlineStr">
        <is>
          <t>Duto de exportação de gás</t>
        </is>
      </c>
      <c r="F359" t="inlineStr">
        <is>
          <t>Amostral</t>
        </is>
      </c>
      <c r="G359" s="8" t="n">
        <v>1888004.61</v>
      </c>
      <c r="H359" s="8" t="n">
        <v>1888004.61</v>
      </c>
      <c r="I359" s="8">
        <f>G359-H359</f>
        <v/>
      </c>
      <c r="J359" s="11">
        <f>IF(G359=0,0,MIN(1,I359/G359))</f>
        <v/>
      </c>
    </row>
    <row r="360">
      <c r="A360" t="inlineStr">
        <is>
          <t>IMB0031672</t>
        </is>
      </c>
      <c r="B360" t="inlineStr">
        <is>
          <t>Ativos de Óleo e Gás - Frade</t>
        </is>
      </c>
      <c r="C360" t="inlineStr">
        <is>
          <t>Prio Forte</t>
        </is>
      </c>
      <c r="D360" t="inlineStr">
        <is>
          <t>Frade</t>
        </is>
      </c>
      <c r="E360" t="inlineStr">
        <is>
          <t>Bomba centrífuga submersa (BCS)</t>
        </is>
      </c>
      <c r="F360" t="inlineStr">
        <is>
          <t>Amostral</t>
        </is>
      </c>
      <c r="G360" s="8" t="n">
        <v>950710.99</v>
      </c>
      <c r="H360" s="8" t="n">
        <v>950710.99</v>
      </c>
      <c r="I360" s="8">
        <f>G360-H360</f>
        <v/>
      </c>
      <c r="J360" s="11">
        <f>IF(G360=0,0,MIN(1,I360/G360))</f>
        <v/>
      </c>
    </row>
    <row r="361">
      <c r="A361" t="inlineStr">
        <is>
          <t>IMB0031913</t>
        </is>
      </c>
      <c r="B361" t="inlineStr">
        <is>
          <t>Ativos de Óleo e Gás - Frade</t>
        </is>
      </c>
      <c r="C361" t="inlineStr">
        <is>
          <t>Prio Forte</t>
        </is>
      </c>
      <c r="D361" t="inlineStr">
        <is>
          <t>Frade</t>
        </is>
      </c>
      <c r="E361" t="inlineStr">
        <is>
          <t>Jumper submarino</t>
        </is>
      </c>
      <c r="F361" t="inlineStr">
        <is>
          <t>Amostral</t>
        </is>
      </c>
      <c r="G361" s="8" t="n">
        <v>355989.39</v>
      </c>
      <c r="H361" s="8" t="n">
        <v>355989.39</v>
      </c>
      <c r="I361" s="8">
        <f>G361-H361</f>
        <v/>
      </c>
      <c r="J361" s="11">
        <f>IF(G361=0,0,MIN(1,I361/G361))</f>
        <v/>
      </c>
    </row>
    <row r="362">
      <c r="A362" t="inlineStr">
        <is>
          <t>IMB0032071</t>
        </is>
      </c>
      <c r="B362" t="inlineStr">
        <is>
          <t>Ativos de Óleo e Gás - Frade</t>
        </is>
      </c>
      <c r="C362" t="inlineStr">
        <is>
          <t>Prio Bravo</t>
        </is>
      </c>
      <c r="D362" t="inlineStr">
        <is>
          <t>Frade</t>
        </is>
      </c>
      <c r="E362" t="inlineStr">
        <is>
          <t>Poço injetor - perfuração</t>
        </is>
      </c>
      <c r="F362" t="inlineStr">
        <is>
          <t>Amostral</t>
        </is>
      </c>
      <c r="G362" s="8" t="n">
        <v>121279.66</v>
      </c>
      <c r="H362" s="8" t="n">
        <v>121279.66</v>
      </c>
      <c r="I362" s="8">
        <f>G362-H362</f>
        <v/>
      </c>
      <c r="J362" s="11">
        <f>IF(G362=0,0,MIN(1,I362/G362))</f>
        <v/>
      </c>
    </row>
    <row r="363">
      <c r="A363" t="inlineStr">
        <is>
          <t>IMB0032286</t>
        </is>
      </c>
      <c r="B363" t="inlineStr">
        <is>
          <t>Ativos de Óleo e Gás - Frade</t>
        </is>
      </c>
      <c r="C363" t="inlineStr">
        <is>
          <t>Prio Forte</t>
        </is>
      </c>
      <c r="D363" t="inlineStr">
        <is>
          <t>Frade</t>
        </is>
      </c>
      <c r="E363" t="inlineStr">
        <is>
          <t>Árvore de natal molhada (ANM)</t>
        </is>
      </c>
      <c r="F363" t="inlineStr">
        <is>
          <t>Amostral</t>
        </is>
      </c>
      <c r="G363" s="8" t="n">
        <v>1301304.49</v>
      </c>
      <c r="H363" s="8" t="n">
        <v>1301304.49</v>
      </c>
      <c r="I363" s="8">
        <f>G363-H363</f>
        <v/>
      </c>
      <c r="J363" s="11">
        <f>IF(G363=0,0,MIN(1,I363/G363))</f>
        <v/>
      </c>
    </row>
    <row r="364">
      <c r="A364" t="inlineStr">
        <is>
          <t>IMB0032474</t>
        </is>
      </c>
      <c r="B364" t="inlineStr">
        <is>
          <t>Ativos de Óleo e Gás - Frade</t>
        </is>
      </c>
      <c r="C364" t="inlineStr">
        <is>
          <t>Prio Forte</t>
        </is>
      </c>
      <c r="D364" t="inlineStr">
        <is>
          <t>Frade</t>
        </is>
      </c>
      <c r="E364" t="inlineStr">
        <is>
          <t>Sistema de gas lift</t>
        </is>
      </c>
      <c r="F364" t="inlineStr">
        <is>
          <t>Amostral</t>
        </is>
      </c>
      <c r="G364" s="8" t="n">
        <v>92854.11</v>
      </c>
      <c r="H364" s="8" t="n">
        <v>92854.11</v>
      </c>
      <c r="I364" s="8">
        <f>G364-H364</f>
        <v/>
      </c>
      <c r="J364" s="11">
        <f>IF(G364=0,0,MIN(1,I364/G364))</f>
        <v/>
      </c>
    </row>
    <row r="365">
      <c r="A365" t="inlineStr">
        <is>
          <t>IMB0032695</t>
        </is>
      </c>
      <c r="B365" t="inlineStr">
        <is>
          <t>Ativos de Óleo e Gás - Frade</t>
        </is>
      </c>
      <c r="C365" t="inlineStr">
        <is>
          <t>Prio Forte</t>
        </is>
      </c>
      <c r="D365" t="inlineStr">
        <is>
          <t>Frade</t>
        </is>
      </c>
      <c r="E365" t="inlineStr">
        <is>
          <t>Poço injetor - perfuração</t>
        </is>
      </c>
      <c r="F365" t="inlineStr">
        <is>
          <t>Amostral</t>
        </is>
      </c>
      <c r="G365" s="8" t="n">
        <v>3508800.38</v>
      </c>
      <c r="H365" s="8" t="n">
        <v>3508800.38</v>
      </c>
      <c r="I365" s="8">
        <f>G365-H365</f>
        <v/>
      </c>
      <c r="J365" s="11">
        <f>IF(G365=0,0,MIN(1,I365/G365))</f>
        <v/>
      </c>
    </row>
    <row r="366">
      <c r="A366" t="inlineStr">
        <is>
          <t>IMB0032906</t>
        </is>
      </c>
      <c r="B366" t="inlineStr">
        <is>
          <t>Ativos de Óleo e Gás - Frade</t>
        </is>
      </c>
      <c r="C366" t="inlineStr">
        <is>
          <t>Prio Forte</t>
        </is>
      </c>
      <c r="D366" t="inlineStr">
        <is>
          <t>Frade</t>
        </is>
      </c>
      <c r="E366" t="inlineStr">
        <is>
          <t>Poço injetor - perfuração</t>
        </is>
      </c>
      <c r="F366" t="inlineStr">
        <is>
          <t>Amostral</t>
        </is>
      </c>
      <c r="G366" s="8" t="n">
        <v>192578.75</v>
      </c>
      <c r="H366" s="8" t="n">
        <v>192578.75</v>
      </c>
      <c r="I366" s="8">
        <f>G366-H366</f>
        <v/>
      </c>
      <c r="J366" s="11">
        <f>IF(G366=0,0,MIN(1,I366/G366))</f>
        <v/>
      </c>
    </row>
    <row r="367">
      <c r="A367" t="inlineStr">
        <is>
          <t>IMB0033079</t>
        </is>
      </c>
      <c r="B367" t="inlineStr">
        <is>
          <t>Ativos de Óleo e Gás - Frade</t>
        </is>
      </c>
      <c r="C367" t="inlineStr">
        <is>
          <t>Prio Forte</t>
        </is>
      </c>
      <c r="D367" t="inlineStr">
        <is>
          <t>Frade</t>
        </is>
      </c>
      <c r="E367" t="inlineStr">
        <is>
          <t>Poço injetor - perfuração</t>
        </is>
      </c>
      <c r="F367" t="inlineStr">
        <is>
          <t>Amostral</t>
        </is>
      </c>
      <c r="G367" s="8" t="n">
        <v>188165.38</v>
      </c>
      <c r="H367" s="8" t="n">
        <v>188165.38</v>
      </c>
      <c r="I367" s="8">
        <f>G367-H367</f>
        <v/>
      </c>
      <c r="J367" s="11">
        <f>IF(G367=0,0,MIN(1,I367/G367))</f>
        <v/>
      </c>
    </row>
    <row r="368">
      <c r="A368" t="inlineStr">
        <is>
          <t>IMB0033280</t>
        </is>
      </c>
      <c r="B368" t="inlineStr">
        <is>
          <t>Ativos de Óleo e Gás - Frade</t>
        </is>
      </c>
      <c r="C368" t="inlineStr">
        <is>
          <t>Prio Forte</t>
        </is>
      </c>
      <c r="D368" t="inlineStr">
        <is>
          <t>Frade</t>
        </is>
      </c>
      <c r="E368" t="inlineStr">
        <is>
          <t>Poço injetor - perfuração</t>
        </is>
      </c>
      <c r="F368" t="inlineStr">
        <is>
          <t>Amostral</t>
        </is>
      </c>
      <c r="G368" s="8" t="n">
        <v>1205553.97</v>
      </c>
      <c r="H368" s="8" t="n">
        <v>1205553.97</v>
      </c>
      <c r="I368" s="8">
        <f>G368-H368</f>
        <v/>
      </c>
      <c r="J368" s="11">
        <f>IF(G368=0,0,MIN(1,I368/G368))</f>
        <v/>
      </c>
    </row>
    <row r="369">
      <c r="A369" t="inlineStr">
        <is>
          <t>IMB0033497</t>
        </is>
      </c>
      <c r="B369" t="inlineStr">
        <is>
          <t>Ativos de Óleo e Gás - Frade</t>
        </is>
      </c>
      <c r="C369" t="inlineStr">
        <is>
          <t>Prio Forte</t>
        </is>
      </c>
      <c r="D369" t="inlineStr">
        <is>
          <t>Frade</t>
        </is>
      </c>
      <c r="E369" t="inlineStr">
        <is>
          <t>Jumper submarino</t>
        </is>
      </c>
      <c r="F369" t="inlineStr">
        <is>
          <t>Amostral</t>
        </is>
      </c>
      <c r="G369" s="8" t="n">
        <v>3253980.98</v>
      </c>
      <c r="H369" s="8" t="n">
        <v>3253980.98</v>
      </c>
      <c r="I369" s="8">
        <f>G369-H369</f>
        <v/>
      </c>
      <c r="J369" s="11">
        <f>IF(G369=0,0,MIN(1,I369/G369))</f>
        <v/>
      </c>
    </row>
    <row r="370">
      <c r="A370" t="inlineStr">
        <is>
          <t>IMB0033694</t>
        </is>
      </c>
      <c r="B370" t="inlineStr">
        <is>
          <t>Ativos de Óleo e Gás - Frade</t>
        </is>
      </c>
      <c r="C370" t="inlineStr">
        <is>
          <t>Prio Forte</t>
        </is>
      </c>
      <c r="D370" t="inlineStr">
        <is>
          <t>Frade</t>
        </is>
      </c>
      <c r="E370" t="inlineStr">
        <is>
          <t>Umbilical eletro-hidráulico</t>
        </is>
      </c>
      <c r="F370" t="inlineStr">
        <is>
          <t>Amostral</t>
        </is>
      </c>
      <c r="G370" s="8" t="n">
        <v>2976603.13</v>
      </c>
      <c r="H370" s="8" t="n">
        <v>2976603.13</v>
      </c>
      <c r="I370" s="8">
        <f>G370-H370</f>
        <v/>
      </c>
      <c r="J370" s="11">
        <f>IF(G370=0,0,MIN(1,I370/G370))</f>
        <v/>
      </c>
    </row>
    <row r="371">
      <c r="A371" t="inlineStr">
        <is>
          <t>IMB0033885</t>
        </is>
      </c>
      <c r="B371" t="inlineStr">
        <is>
          <t>Ativos de Óleo e Gás - Frade</t>
        </is>
      </c>
      <c r="C371" t="inlineStr">
        <is>
          <t>Prio Forte</t>
        </is>
      </c>
      <c r="D371" t="inlineStr">
        <is>
          <t>Frade</t>
        </is>
      </c>
      <c r="E371" t="inlineStr">
        <is>
          <t>Poço produtor - completação</t>
        </is>
      </c>
      <c r="F371" t="inlineStr">
        <is>
          <t>Amostral</t>
        </is>
      </c>
      <c r="G371" s="8" t="n">
        <v>604058.36</v>
      </c>
      <c r="H371" s="8" t="n">
        <v>604058.36</v>
      </c>
      <c r="I371" s="8">
        <f>G371-H371</f>
        <v/>
      </c>
      <c r="J371" s="11">
        <f>IF(G371=0,0,MIN(1,I371/G371))</f>
        <v/>
      </c>
    </row>
    <row r="372">
      <c r="A372" t="inlineStr">
        <is>
          <t>IMB0034061</t>
        </is>
      </c>
      <c r="B372" t="inlineStr">
        <is>
          <t>Ativos de Óleo e Gás - Frade</t>
        </is>
      </c>
      <c r="C372" t="inlineStr">
        <is>
          <t>Prio Forte</t>
        </is>
      </c>
      <c r="D372" t="inlineStr">
        <is>
          <t>Frade</t>
        </is>
      </c>
      <c r="E372" t="inlineStr">
        <is>
          <t>Sistema de gas lift</t>
        </is>
      </c>
      <c r="F372" t="inlineStr">
        <is>
          <t>Amostral</t>
        </is>
      </c>
      <c r="G372" s="8" t="n">
        <v>1475409.92</v>
      </c>
      <c r="H372" s="8" t="n">
        <v>1475409.92</v>
      </c>
      <c r="I372" s="8">
        <f>G372-H372</f>
        <v/>
      </c>
      <c r="J372" s="11">
        <f>IF(G372=0,0,MIN(1,I372/G372))</f>
        <v/>
      </c>
    </row>
    <row r="373">
      <c r="A373" t="inlineStr">
        <is>
          <t>IMB0034292</t>
        </is>
      </c>
      <c r="B373" t="inlineStr">
        <is>
          <t>Ativos de Óleo e Gás - Frade</t>
        </is>
      </c>
      <c r="C373" t="inlineStr">
        <is>
          <t>Prio Forte</t>
        </is>
      </c>
      <c r="D373" t="inlineStr">
        <is>
          <t>Frade</t>
        </is>
      </c>
      <c r="E373" t="inlineStr">
        <is>
          <t>Sistema de gas lift</t>
        </is>
      </c>
      <c r="F373" t="inlineStr">
        <is>
          <t>Amostral</t>
        </is>
      </c>
      <c r="G373" s="8" t="n">
        <v>172495.59</v>
      </c>
      <c r="H373" s="8" t="n">
        <v>172495.59</v>
      </c>
      <c r="I373" s="8">
        <f>G373-H373</f>
        <v/>
      </c>
      <c r="J373" s="11">
        <f>IF(G373=0,0,MIN(1,I373/G373))</f>
        <v/>
      </c>
    </row>
    <row r="374">
      <c r="A374" t="inlineStr">
        <is>
          <t>IMB0034449</t>
        </is>
      </c>
      <c r="B374" t="inlineStr">
        <is>
          <t>Ativos de Óleo e Gás - Frade</t>
        </is>
      </c>
      <c r="C374" t="inlineStr">
        <is>
          <t>Prio Forte</t>
        </is>
      </c>
      <c r="D374" t="inlineStr">
        <is>
          <t>Frade</t>
        </is>
      </c>
      <c r="E374" t="inlineStr">
        <is>
          <t>Linha flexível de produção</t>
        </is>
      </c>
      <c r="F374" t="inlineStr">
        <is>
          <t>Amostral</t>
        </is>
      </c>
      <c r="G374" s="8" t="n">
        <v>3438114.77</v>
      </c>
      <c r="H374" s="8" t="n">
        <v>3438114.77</v>
      </c>
      <c r="I374" s="8">
        <f>G374-H374</f>
        <v/>
      </c>
      <c r="J374" s="11">
        <f>IF(G374=0,0,MIN(1,I374/G374))</f>
        <v/>
      </c>
    </row>
    <row r="375">
      <c r="A375" t="inlineStr">
        <is>
          <t>IMB0034633</t>
        </is>
      </c>
      <c r="B375" t="inlineStr">
        <is>
          <t>Ativos de Óleo e Gás - Frade</t>
        </is>
      </c>
      <c r="C375" t="inlineStr">
        <is>
          <t>Prio Forte</t>
        </is>
      </c>
      <c r="D375" t="inlineStr">
        <is>
          <t>Frade</t>
        </is>
      </c>
      <c r="E375" t="inlineStr">
        <is>
          <t>Poço injetor - perfuração</t>
        </is>
      </c>
      <c r="F375" t="inlineStr">
        <is>
          <t>Amostral</t>
        </is>
      </c>
      <c r="G375" s="8" t="n">
        <v>91664.74000000001</v>
      </c>
      <c r="H375" s="8" t="n">
        <v>91664.74000000001</v>
      </c>
      <c r="I375" s="8">
        <f>G375-H375</f>
        <v/>
      </c>
      <c r="J375" s="11">
        <f>IF(G375=0,0,MIN(1,I375/G375))</f>
        <v/>
      </c>
    </row>
    <row r="376">
      <c r="A376" t="inlineStr">
        <is>
          <t>IMB0034844</t>
        </is>
      </c>
      <c r="B376" t="inlineStr">
        <is>
          <t>Ativos de Óleo e Gás - Frade</t>
        </is>
      </c>
      <c r="C376" t="inlineStr">
        <is>
          <t>Prio Forte</t>
        </is>
      </c>
      <c r="D376" t="inlineStr">
        <is>
          <t>Frade</t>
        </is>
      </c>
      <c r="E376" t="inlineStr">
        <is>
          <t>Equipamento de controle submarino (SCM)</t>
        </is>
      </c>
      <c r="F376" t="inlineStr">
        <is>
          <t>Amostral</t>
        </is>
      </c>
      <c r="G376" s="8" t="n">
        <v>255305.11</v>
      </c>
      <c r="H376" s="8" t="n">
        <v>255305.11</v>
      </c>
      <c r="I376" s="8">
        <f>G376-H376</f>
        <v/>
      </c>
      <c r="J376" s="11">
        <f>IF(G376=0,0,MIN(1,I376/G376))</f>
        <v/>
      </c>
    </row>
    <row r="377">
      <c r="A377" t="inlineStr">
        <is>
          <t>IMB0035052</t>
        </is>
      </c>
      <c r="B377" t="inlineStr">
        <is>
          <t>Ativos de Óleo e Gás - Frade</t>
        </is>
      </c>
      <c r="C377" t="inlineStr">
        <is>
          <t>Prio Bravo</t>
        </is>
      </c>
      <c r="D377" t="inlineStr">
        <is>
          <t>Frade</t>
        </is>
      </c>
      <c r="E377" t="inlineStr">
        <is>
          <t>Bomba centrífuga submersa (BCS)</t>
        </is>
      </c>
      <c r="F377" t="inlineStr">
        <is>
          <t>Amostral</t>
        </is>
      </c>
      <c r="G377" s="8" t="n">
        <v>3961884.84</v>
      </c>
      <c r="H377" s="8" t="n">
        <v>3961884.84</v>
      </c>
      <c r="I377" s="8">
        <f>G377-H377</f>
        <v/>
      </c>
      <c r="J377" s="11">
        <f>IF(G377=0,0,MIN(1,I377/G377))</f>
        <v/>
      </c>
    </row>
    <row r="378">
      <c r="A378" t="inlineStr">
        <is>
          <t>IMB0035274</t>
        </is>
      </c>
      <c r="B378" t="inlineStr">
        <is>
          <t>Ativos de Óleo e Gás - Frade</t>
        </is>
      </c>
      <c r="C378" t="inlineStr">
        <is>
          <t>Prio Forte</t>
        </is>
      </c>
      <c r="D378" t="inlineStr">
        <is>
          <t>Frade</t>
        </is>
      </c>
      <c r="E378" t="inlineStr">
        <is>
          <t>Poço produtor - perfuração</t>
        </is>
      </c>
      <c r="F378" t="inlineStr">
        <is>
          <t>Amostral</t>
        </is>
      </c>
      <c r="G378" s="8" t="n">
        <v>1493421.41</v>
      </c>
      <c r="H378" s="8" t="n">
        <v>1493421.41</v>
      </c>
      <c r="I378" s="8">
        <f>G378-H378</f>
        <v/>
      </c>
      <c r="J378" s="11">
        <f>IF(G378=0,0,MIN(1,I378/G378))</f>
        <v/>
      </c>
    </row>
    <row r="379">
      <c r="A379" t="inlineStr">
        <is>
          <t>IMB0035445</t>
        </is>
      </c>
      <c r="B379" t="inlineStr">
        <is>
          <t>Ativos de Óleo e Gás - Frade</t>
        </is>
      </c>
      <c r="C379" t="inlineStr">
        <is>
          <t>Prio Forte</t>
        </is>
      </c>
      <c r="D379" t="inlineStr">
        <is>
          <t>Frade</t>
        </is>
      </c>
      <c r="E379" t="inlineStr">
        <is>
          <t>Linha flexível de produção</t>
        </is>
      </c>
      <c r="F379" t="inlineStr">
        <is>
          <t>Amostral</t>
        </is>
      </c>
      <c r="G379" s="8" t="n">
        <v>157821.33</v>
      </c>
      <c r="H379" s="8" t="n">
        <v>157821.33</v>
      </c>
      <c r="I379" s="8">
        <f>G379-H379</f>
        <v/>
      </c>
      <c r="J379" s="11">
        <f>IF(G379=0,0,MIN(1,I379/G379))</f>
        <v/>
      </c>
    </row>
    <row r="380">
      <c r="A380" t="inlineStr">
        <is>
          <t>IMB0035640</t>
        </is>
      </c>
      <c r="B380" t="inlineStr">
        <is>
          <t>Ativos de Óleo e Gás - Frade</t>
        </is>
      </c>
      <c r="C380" t="inlineStr">
        <is>
          <t>Prio Forte</t>
        </is>
      </c>
      <c r="D380" t="inlineStr">
        <is>
          <t>Frade</t>
        </is>
      </c>
      <c r="E380" t="inlineStr">
        <is>
          <t>Poço produtor - completação</t>
        </is>
      </c>
      <c r="F380" t="inlineStr">
        <is>
          <t>Amostral</t>
        </is>
      </c>
      <c r="G380" s="8" t="n">
        <v>70357.06</v>
      </c>
      <c r="H380" s="8" t="n">
        <v>70357.06</v>
      </c>
      <c r="I380" s="8">
        <f>G380-H380</f>
        <v/>
      </c>
      <c r="J380" s="11">
        <f>IF(G380=0,0,MIN(1,I380/G380))</f>
        <v/>
      </c>
    </row>
    <row r="381">
      <c r="A381" t="inlineStr">
        <is>
          <t>IMB0035819</t>
        </is>
      </c>
      <c r="B381" t="inlineStr">
        <is>
          <t>Ativos de Óleo e Gás - Frade</t>
        </is>
      </c>
      <c r="C381" t="inlineStr">
        <is>
          <t>Prio Forte</t>
        </is>
      </c>
      <c r="D381" t="inlineStr">
        <is>
          <t>Frade</t>
        </is>
      </c>
      <c r="E381" t="inlineStr">
        <is>
          <t>Poço injetor - perfuração</t>
        </is>
      </c>
      <c r="F381" t="inlineStr">
        <is>
          <t>Amostral</t>
        </is>
      </c>
      <c r="G381" s="8" t="n">
        <v>1225821.62</v>
      </c>
      <c r="H381" s="8" t="n">
        <v>1225821.62</v>
      </c>
      <c r="I381" s="8">
        <f>G381-H381</f>
        <v/>
      </c>
      <c r="J381" s="11">
        <f>IF(G381=0,0,MIN(1,I381/G381))</f>
        <v/>
      </c>
    </row>
    <row r="382">
      <c r="A382" t="inlineStr">
        <is>
          <t>IMB0036029</t>
        </is>
      </c>
      <c r="B382" t="inlineStr">
        <is>
          <t>Ativos de Óleo e Gás - Frade</t>
        </is>
      </c>
      <c r="C382" t="inlineStr">
        <is>
          <t>Prio Forte</t>
        </is>
      </c>
      <c r="D382" t="inlineStr">
        <is>
          <t>Frade</t>
        </is>
      </c>
      <c r="E382" t="inlineStr">
        <is>
          <t>Custo de abandono capitalizado (ARO)</t>
        </is>
      </c>
      <c r="F382" t="inlineStr">
        <is>
          <t>Amostral</t>
        </is>
      </c>
      <c r="G382" s="8" t="n">
        <v>82117.84</v>
      </c>
      <c r="H382" s="8" t="n">
        <v>82117.84</v>
      </c>
      <c r="I382" s="8">
        <f>G382-H382</f>
        <v/>
      </c>
      <c r="J382" s="11">
        <f>IF(G382=0,0,MIN(1,I382/G382))</f>
        <v/>
      </c>
    </row>
    <row r="383">
      <c r="A383" t="inlineStr">
        <is>
          <t>IMB0036238</t>
        </is>
      </c>
      <c r="B383" t="inlineStr">
        <is>
          <t>Ativos de Óleo e Gás - Frade</t>
        </is>
      </c>
      <c r="C383" t="inlineStr">
        <is>
          <t>Prio Forte</t>
        </is>
      </c>
      <c r="D383" t="inlineStr">
        <is>
          <t>Frade</t>
        </is>
      </c>
      <c r="E383" t="inlineStr">
        <is>
          <t>Sistema de gas lift</t>
        </is>
      </c>
      <c r="F383" t="inlineStr">
        <is>
          <t>Amostral</t>
        </is>
      </c>
      <c r="G383" s="8" t="n">
        <v>2560785.92</v>
      </c>
      <c r="H383" s="8" t="n">
        <v>2560785.92</v>
      </c>
      <c r="I383" s="8">
        <f>G383-H383</f>
        <v/>
      </c>
      <c r="J383" s="11">
        <f>IF(G383=0,0,MIN(1,I383/G383))</f>
        <v/>
      </c>
    </row>
    <row r="384">
      <c r="A384" t="inlineStr">
        <is>
          <t>IMB0036391</t>
        </is>
      </c>
      <c r="B384" t="inlineStr">
        <is>
          <t>Ativos de Óleo e Gás - Frade</t>
        </is>
      </c>
      <c r="C384" t="inlineStr">
        <is>
          <t>Prio Forte</t>
        </is>
      </c>
      <c r="D384" t="inlineStr">
        <is>
          <t>Frade</t>
        </is>
      </c>
      <c r="E384" t="inlineStr">
        <is>
          <t>Sistema de gas lift</t>
        </is>
      </c>
      <c r="F384" t="inlineStr">
        <is>
          <t>Amostral</t>
        </is>
      </c>
      <c r="G384" s="8" t="n">
        <v>2309339.33</v>
      </c>
      <c r="H384" s="8" t="n">
        <v>2309339.33</v>
      </c>
      <c r="I384" s="8">
        <f>G384-H384</f>
        <v/>
      </c>
      <c r="J384" s="11">
        <f>IF(G384=0,0,MIN(1,I384/G384))</f>
        <v/>
      </c>
    </row>
    <row r="385">
      <c r="A385" t="inlineStr">
        <is>
          <t>IMB0036516</t>
        </is>
      </c>
      <c r="B385" t="inlineStr">
        <is>
          <t>Ativos de Óleo e Gás - Frade</t>
        </is>
      </c>
      <c r="C385" t="inlineStr">
        <is>
          <t>Prio Forte</t>
        </is>
      </c>
      <c r="D385" t="inlineStr">
        <is>
          <t>Frade</t>
        </is>
      </c>
      <c r="E385" t="inlineStr">
        <is>
          <t>Umbilical eletro-hidráulico</t>
        </is>
      </c>
      <c r="F385" t="inlineStr">
        <is>
          <t>Amostral</t>
        </is>
      </c>
      <c r="G385" s="8" t="n">
        <v>33364.09</v>
      </c>
      <c r="H385" s="8" t="n">
        <v>33364.09</v>
      </c>
      <c r="I385" s="8">
        <f>G385-H385</f>
        <v/>
      </c>
      <c r="J385" s="11">
        <f>IF(G385=0,0,MIN(1,I385/G385))</f>
        <v/>
      </c>
    </row>
    <row r="386">
      <c r="A386" t="inlineStr">
        <is>
          <t>IMB0036755</t>
        </is>
      </c>
      <c r="B386" t="inlineStr">
        <is>
          <t>Ativos de Óleo e Gás - Frade</t>
        </is>
      </c>
      <c r="C386" t="inlineStr">
        <is>
          <t>Prio Forte</t>
        </is>
      </c>
      <c r="D386" t="inlineStr">
        <is>
          <t>Frade</t>
        </is>
      </c>
      <c r="E386" t="inlineStr">
        <is>
          <t>Poço produtor - perfuração</t>
        </is>
      </c>
      <c r="F386" t="inlineStr">
        <is>
          <t>Amostral</t>
        </is>
      </c>
      <c r="G386" s="8" t="n">
        <v>3227596.71</v>
      </c>
      <c r="H386" s="8" t="n">
        <v>3227596.71</v>
      </c>
      <c r="I386" s="8">
        <f>G386-H386</f>
        <v/>
      </c>
      <c r="J386" s="11">
        <f>IF(G386=0,0,MIN(1,I386/G386))</f>
        <v/>
      </c>
    </row>
    <row r="387">
      <c r="A387" t="inlineStr">
        <is>
          <t>IMB0036973</t>
        </is>
      </c>
      <c r="B387" t="inlineStr">
        <is>
          <t>Ativos de Óleo e Gás - Frade</t>
        </is>
      </c>
      <c r="C387" t="inlineStr">
        <is>
          <t>Prio Bravo</t>
        </is>
      </c>
      <c r="D387" t="inlineStr">
        <is>
          <t>Frade</t>
        </is>
      </c>
      <c r="E387" t="inlineStr">
        <is>
          <t>Linha flexível de produção</t>
        </is>
      </c>
      <c r="F387" t="inlineStr">
        <is>
          <t>Amostral</t>
        </is>
      </c>
      <c r="G387" s="8" t="n">
        <v>941915.39</v>
      </c>
      <c r="H387" s="8" t="n">
        <v>941915.39</v>
      </c>
      <c r="I387" s="8">
        <f>G387-H387</f>
        <v/>
      </c>
      <c r="J387" s="11">
        <f>IF(G387=0,0,MIN(1,I387/G387))</f>
        <v/>
      </c>
    </row>
    <row r="388">
      <c r="A388" t="inlineStr">
        <is>
          <t>IMB0037187</t>
        </is>
      </c>
      <c r="B388" t="inlineStr">
        <is>
          <t>Ativos de Óleo e Gás - Frade</t>
        </is>
      </c>
      <c r="C388" t="inlineStr">
        <is>
          <t>Prio Bravo</t>
        </is>
      </c>
      <c r="D388" t="inlineStr">
        <is>
          <t>Frade</t>
        </is>
      </c>
      <c r="E388" t="inlineStr">
        <is>
          <t>Poço injetor - perfuração</t>
        </is>
      </c>
      <c r="F388" t="inlineStr">
        <is>
          <t>Amostral</t>
        </is>
      </c>
      <c r="G388" s="8" t="n">
        <v>45018.43</v>
      </c>
      <c r="H388" s="8" t="n">
        <v>45018.43</v>
      </c>
      <c r="I388" s="8">
        <f>G388-H388</f>
        <v/>
      </c>
      <c r="J388" s="11">
        <f>IF(G388=0,0,MIN(1,I388/G388))</f>
        <v/>
      </c>
    </row>
    <row r="389">
      <c r="A389" t="inlineStr">
        <is>
          <t>IMB0037435</t>
        </is>
      </c>
      <c r="B389" t="inlineStr">
        <is>
          <t>Ativos de Óleo e Gás - Frade</t>
        </is>
      </c>
      <c r="C389" t="inlineStr">
        <is>
          <t>Prio Forte</t>
        </is>
      </c>
      <c r="D389" t="inlineStr">
        <is>
          <t>Frade</t>
        </is>
      </c>
      <c r="E389" t="inlineStr">
        <is>
          <t>Umbilical eletro-hidráulico</t>
        </is>
      </c>
      <c r="F389" t="inlineStr">
        <is>
          <t>Amostral</t>
        </is>
      </c>
      <c r="G389" s="8" t="n">
        <v>18091.59</v>
      </c>
      <c r="H389" s="8" t="n">
        <v>18091.59</v>
      </c>
      <c r="I389" s="8">
        <f>G389-H389</f>
        <v/>
      </c>
      <c r="J389" s="11">
        <f>IF(G389=0,0,MIN(1,I389/G389))</f>
        <v/>
      </c>
    </row>
    <row r="390">
      <c r="A390" t="inlineStr">
        <is>
          <t>IMB0037578</t>
        </is>
      </c>
      <c r="B390" t="inlineStr">
        <is>
          <t>Ativos de Óleo e Gás - Frade</t>
        </is>
      </c>
      <c r="C390" t="inlineStr">
        <is>
          <t>Prio Forte</t>
        </is>
      </c>
      <c r="D390" t="inlineStr">
        <is>
          <t>Frade</t>
        </is>
      </c>
      <c r="E390" t="inlineStr">
        <is>
          <t>Poço produtor - perfuração</t>
        </is>
      </c>
      <c r="F390" t="inlineStr">
        <is>
          <t>Amostral</t>
        </is>
      </c>
      <c r="G390" s="8" t="n">
        <v>156581.35</v>
      </c>
      <c r="H390" s="8" t="n">
        <v>156581.35</v>
      </c>
      <c r="I390" s="8">
        <f>G390-H390</f>
        <v/>
      </c>
      <c r="J390" s="11">
        <f>IF(G390=0,0,MIN(1,I390/G390))</f>
        <v/>
      </c>
    </row>
    <row r="391">
      <c r="A391" t="inlineStr">
        <is>
          <t>IMB0037813</t>
        </is>
      </c>
      <c r="B391" t="inlineStr">
        <is>
          <t>Ativos de Óleo e Gás - Frade</t>
        </is>
      </c>
      <c r="C391" t="inlineStr">
        <is>
          <t>Prio Bravo</t>
        </is>
      </c>
      <c r="D391" t="inlineStr">
        <is>
          <t>Frade</t>
        </is>
      </c>
      <c r="E391" t="inlineStr">
        <is>
          <t>Umbilical eletro-hidráulico</t>
        </is>
      </c>
      <c r="F391" t="inlineStr">
        <is>
          <t>Amostral</t>
        </is>
      </c>
      <c r="G391" s="8" t="n">
        <v>388161.98</v>
      </c>
      <c r="H391" s="8" t="n">
        <v>388161.98</v>
      </c>
      <c r="I391" s="8">
        <f>G391-H391</f>
        <v/>
      </c>
      <c r="J391" s="11">
        <f>IF(G391=0,0,MIN(1,I391/G391))</f>
        <v/>
      </c>
    </row>
    <row r="392">
      <c r="A392" t="inlineStr">
        <is>
          <t>IMB0037944</t>
        </is>
      </c>
      <c r="B392" t="inlineStr">
        <is>
          <t>Ativos de Óleo e Gás - Frade</t>
        </is>
      </c>
      <c r="C392" t="inlineStr">
        <is>
          <t>Prio Forte</t>
        </is>
      </c>
      <c r="D392" t="inlineStr">
        <is>
          <t>Frade</t>
        </is>
      </c>
      <c r="E392" t="inlineStr">
        <is>
          <t>Poço produtor - perfuração</t>
        </is>
      </c>
      <c r="F392" t="inlineStr">
        <is>
          <t>Amostral</t>
        </is>
      </c>
      <c r="G392" s="8" t="n">
        <v>10964422.16</v>
      </c>
      <c r="H392" s="8" t="n">
        <v>10964422.16</v>
      </c>
      <c r="I392" s="8">
        <f>G392-H392</f>
        <v/>
      </c>
      <c r="J392" s="11">
        <f>IF(G392=0,0,MIN(1,I392/G392))</f>
        <v/>
      </c>
    </row>
    <row r="393">
      <c r="A393" t="inlineStr">
        <is>
          <t>IMB0038097</t>
        </is>
      </c>
      <c r="B393" t="inlineStr">
        <is>
          <t>Ativos de Óleo e Gás - Frade</t>
        </is>
      </c>
      <c r="C393" t="inlineStr">
        <is>
          <t>Prio Forte</t>
        </is>
      </c>
      <c r="D393" t="inlineStr">
        <is>
          <t>Frade</t>
        </is>
      </c>
      <c r="E393" t="inlineStr">
        <is>
          <t>Equipamento de controle submarino (SCM)</t>
        </is>
      </c>
      <c r="F393" t="inlineStr">
        <is>
          <t>Amostral</t>
        </is>
      </c>
      <c r="G393" s="8" t="n">
        <v>13999.09</v>
      </c>
      <c r="H393" s="8" t="n">
        <v>13999.09</v>
      </c>
      <c r="I393" s="8">
        <f>G393-H393</f>
        <v/>
      </c>
      <c r="J393" s="11">
        <f>IF(G393=0,0,MIN(1,I393/G393))</f>
        <v/>
      </c>
    </row>
    <row r="394">
      <c r="A394" t="inlineStr">
        <is>
          <t>IMB0038247</t>
        </is>
      </c>
      <c r="B394" t="inlineStr">
        <is>
          <t>Ativos de Óleo e Gás - Frade</t>
        </is>
      </c>
      <c r="C394" t="inlineStr">
        <is>
          <t>Prio Bravo</t>
        </is>
      </c>
      <c r="D394" t="inlineStr">
        <is>
          <t>Frade</t>
        </is>
      </c>
      <c r="E394" t="inlineStr">
        <is>
          <t>Poço injetor - perfuração</t>
        </is>
      </c>
      <c r="F394" t="inlineStr">
        <is>
          <t>Amostral</t>
        </is>
      </c>
      <c r="G394" s="8" t="n">
        <v>3194563.43</v>
      </c>
      <c r="H394" s="8" t="n">
        <v>3194563.43</v>
      </c>
      <c r="I394" s="8">
        <f>G394-H394</f>
        <v/>
      </c>
      <c r="J394" s="11">
        <f>IF(G394=0,0,MIN(1,I394/G394))</f>
        <v/>
      </c>
    </row>
    <row r="395">
      <c r="A395" t="inlineStr">
        <is>
          <t>IMB0038405</t>
        </is>
      </c>
      <c r="B395" t="inlineStr">
        <is>
          <t>Ativos de Óleo e Gás - Frade</t>
        </is>
      </c>
      <c r="C395" t="inlineStr">
        <is>
          <t>Prio Forte</t>
        </is>
      </c>
      <c r="D395" t="inlineStr">
        <is>
          <t>Frade</t>
        </is>
      </c>
      <c r="E395" t="inlineStr">
        <is>
          <t>Duto de exportação de gás</t>
        </is>
      </c>
      <c r="F395" t="inlineStr">
        <is>
          <t>Amostral</t>
        </is>
      </c>
      <c r="G395" s="8" t="n">
        <v>562999.76</v>
      </c>
      <c r="H395" s="8" t="n">
        <v>562999.76</v>
      </c>
      <c r="I395" s="8">
        <f>G395-H395</f>
        <v/>
      </c>
      <c r="J395" s="11">
        <f>IF(G395=0,0,MIN(1,I395/G395))</f>
        <v/>
      </c>
    </row>
    <row r="396">
      <c r="A396" t="inlineStr">
        <is>
          <t>IMB0038602</t>
        </is>
      </c>
      <c r="B396" t="inlineStr">
        <is>
          <t>Ativos de Óleo e Gás - Frade</t>
        </is>
      </c>
      <c r="C396" t="inlineStr">
        <is>
          <t>Prio Forte</t>
        </is>
      </c>
      <c r="D396" t="inlineStr">
        <is>
          <t>Frade</t>
        </is>
      </c>
      <c r="E396" t="inlineStr">
        <is>
          <t>Equipamento de controle submarino (SCM)</t>
        </is>
      </c>
      <c r="F396" t="inlineStr">
        <is>
          <t>Amostral</t>
        </is>
      </c>
      <c r="G396" s="8" t="n">
        <v>227822.78</v>
      </c>
      <c r="H396" s="8" t="n">
        <v>227822.78</v>
      </c>
      <c r="I396" s="8">
        <f>G396-H396</f>
        <v/>
      </c>
      <c r="J396" s="11">
        <f>IF(G396=0,0,MIN(1,I396/G396))</f>
        <v/>
      </c>
    </row>
    <row r="397">
      <c r="A397" t="inlineStr">
        <is>
          <t>IMB0038781</t>
        </is>
      </c>
      <c r="B397" t="inlineStr">
        <is>
          <t>Ativos de Óleo e Gás - Frade</t>
        </is>
      </c>
      <c r="C397" t="inlineStr">
        <is>
          <t>Prio Forte</t>
        </is>
      </c>
      <c r="D397" t="inlineStr">
        <is>
          <t>Frade</t>
        </is>
      </c>
      <c r="E397" t="inlineStr">
        <is>
          <t>Linha flexível de produção</t>
        </is>
      </c>
      <c r="F397" t="inlineStr">
        <is>
          <t>Amostral</t>
        </is>
      </c>
      <c r="G397" s="8" t="n">
        <v>1433063.08</v>
      </c>
      <c r="H397" s="8" t="n">
        <v>1433063.08</v>
      </c>
      <c r="I397" s="8">
        <f>G397-H397</f>
        <v/>
      </c>
      <c r="J397" s="11">
        <f>IF(G397=0,0,MIN(1,I397/G397))</f>
        <v/>
      </c>
    </row>
    <row r="398">
      <c r="A398" t="inlineStr">
        <is>
          <t>IMB0038993</t>
        </is>
      </c>
      <c r="B398" t="inlineStr">
        <is>
          <t>Ativos de Óleo e Gás - Frade</t>
        </is>
      </c>
      <c r="C398" t="inlineStr">
        <is>
          <t>Prio Forte</t>
        </is>
      </c>
      <c r="D398" t="inlineStr">
        <is>
          <t>Frade</t>
        </is>
      </c>
      <c r="E398" t="inlineStr">
        <is>
          <t>Duto de exportação de gás</t>
        </is>
      </c>
      <c r="F398" t="inlineStr">
        <is>
          <t>Amostral</t>
        </is>
      </c>
      <c r="G398" s="8" t="n">
        <v>943617.59</v>
      </c>
      <c r="H398" s="8" t="n">
        <v>943617.59</v>
      </c>
      <c r="I398" s="8">
        <f>G398-H398</f>
        <v/>
      </c>
      <c r="J398" s="11">
        <f>IF(G398=0,0,MIN(1,I398/G398))</f>
        <v/>
      </c>
    </row>
    <row r="399">
      <c r="A399" t="inlineStr">
        <is>
          <t>IMB0039197</t>
        </is>
      </c>
      <c r="B399" t="inlineStr">
        <is>
          <t>Ativos de Óleo e Gás - Frade</t>
        </is>
      </c>
      <c r="C399" t="inlineStr">
        <is>
          <t>Prio Forte</t>
        </is>
      </c>
      <c r="D399" t="inlineStr">
        <is>
          <t>Frade</t>
        </is>
      </c>
      <c r="E399" t="inlineStr">
        <is>
          <t>Manifold submarino</t>
        </is>
      </c>
      <c r="F399" t="inlineStr">
        <is>
          <t>Amostral</t>
        </is>
      </c>
      <c r="G399" s="8" t="n">
        <v>295099.88</v>
      </c>
      <c r="H399" s="8" t="n">
        <v>295099.88</v>
      </c>
      <c r="I399" s="8">
        <f>G399-H399</f>
        <v/>
      </c>
      <c r="J399" s="11">
        <f>IF(G399=0,0,MIN(1,I399/G399))</f>
        <v/>
      </c>
    </row>
    <row r="400">
      <c r="A400" t="inlineStr">
        <is>
          <t>IMB0039350</t>
        </is>
      </c>
      <c r="B400" t="inlineStr">
        <is>
          <t>Ativos de Óleo e Gás - Frade</t>
        </is>
      </c>
      <c r="C400" t="inlineStr">
        <is>
          <t>Prio Bravo</t>
        </is>
      </c>
      <c r="D400" t="inlineStr">
        <is>
          <t>Frade</t>
        </is>
      </c>
      <c r="E400" t="inlineStr">
        <is>
          <t>Manifold submarino</t>
        </is>
      </c>
      <c r="F400" t="inlineStr">
        <is>
          <t>Amostral</t>
        </is>
      </c>
      <c r="G400" s="8" t="n">
        <v>316184.7</v>
      </c>
      <c r="H400" s="8" t="n">
        <v>316184.7</v>
      </c>
      <c r="I400" s="8">
        <f>G400-H400</f>
        <v/>
      </c>
      <c r="J400" s="11">
        <f>IF(G400=0,0,MIN(1,I400/G400))</f>
        <v/>
      </c>
    </row>
    <row r="401">
      <c r="A401" t="inlineStr">
        <is>
          <t>IMB0039539</t>
        </is>
      </c>
      <c r="B401" t="inlineStr">
        <is>
          <t>Ativos de Óleo e Gás - Frade</t>
        </is>
      </c>
      <c r="C401" t="inlineStr">
        <is>
          <t>Prio Bravo</t>
        </is>
      </c>
      <c r="D401" t="inlineStr">
        <is>
          <t>Frade</t>
        </is>
      </c>
      <c r="E401" t="inlineStr">
        <is>
          <t>Manifold submarino</t>
        </is>
      </c>
      <c r="F401" t="inlineStr">
        <is>
          <t>Amostral</t>
        </is>
      </c>
      <c r="G401" s="8" t="n">
        <v>597336.08</v>
      </c>
      <c r="H401" s="8" t="n">
        <v>597336.08</v>
      </c>
      <c r="I401" s="8">
        <f>G401-H401</f>
        <v/>
      </c>
      <c r="J401" s="11">
        <f>IF(G401=0,0,MIN(1,I401/G401))</f>
        <v/>
      </c>
    </row>
    <row r="402">
      <c r="A402" t="inlineStr">
        <is>
          <t>IMB0039740</t>
        </is>
      </c>
      <c r="B402" t="inlineStr">
        <is>
          <t>Ativos de Óleo e Gás - Frade</t>
        </is>
      </c>
      <c r="C402" t="inlineStr">
        <is>
          <t>Prio Forte</t>
        </is>
      </c>
      <c r="D402" t="inlineStr">
        <is>
          <t>Frade</t>
        </is>
      </c>
      <c r="E402" t="inlineStr">
        <is>
          <t>Poço injetor - perfuração</t>
        </is>
      </c>
      <c r="F402" t="inlineStr">
        <is>
          <t>Amostral</t>
        </is>
      </c>
      <c r="G402" s="8" t="n">
        <v>765863.75</v>
      </c>
      <c r="H402" s="8" t="n">
        <v>765863.75</v>
      </c>
      <c r="I402" s="8">
        <f>G402-H402</f>
        <v/>
      </c>
      <c r="J402" s="11">
        <f>IF(G402=0,0,MIN(1,I402/G402))</f>
        <v/>
      </c>
    </row>
    <row r="403">
      <c r="A403" t="inlineStr">
        <is>
          <t>IMB0039883</t>
        </is>
      </c>
      <c r="B403" t="inlineStr">
        <is>
          <t>Ativos de Óleo e Gás - Frade</t>
        </is>
      </c>
      <c r="C403" t="inlineStr">
        <is>
          <t>Prio Forte</t>
        </is>
      </c>
      <c r="D403" t="inlineStr">
        <is>
          <t>Frade</t>
        </is>
      </c>
      <c r="E403" t="inlineStr">
        <is>
          <t>Bomba centrífuga submersa (BCS)</t>
        </is>
      </c>
      <c r="F403" t="inlineStr">
        <is>
          <t>Amostral</t>
        </is>
      </c>
      <c r="G403" s="8" t="n">
        <v>3944933.42</v>
      </c>
      <c r="H403" s="8" t="n">
        <v>3944933.42</v>
      </c>
      <c r="I403" s="8">
        <f>G403-H403</f>
        <v/>
      </c>
      <c r="J403" s="11">
        <f>IF(G403=0,0,MIN(1,I403/G403))</f>
        <v/>
      </c>
    </row>
    <row r="404">
      <c r="A404" t="inlineStr">
        <is>
          <t>IMB0040019</t>
        </is>
      </c>
      <c r="B404" t="inlineStr">
        <is>
          <t>Ativos de Óleo e Gás - Frade</t>
        </is>
      </c>
      <c r="C404" t="inlineStr">
        <is>
          <t>Prio Forte</t>
        </is>
      </c>
      <c r="D404" t="inlineStr">
        <is>
          <t>Frade</t>
        </is>
      </c>
      <c r="E404" t="inlineStr">
        <is>
          <t>Jumper submarino</t>
        </is>
      </c>
      <c r="F404" t="inlineStr">
        <is>
          <t>Amostral</t>
        </is>
      </c>
      <c r="G404" s="8" t="n">
        <v>198719.75</v>
      </c>
      <c r="H404" s="8" t="n">
        <v>198719.75</v>
      </c>
      <c r="I404" s="8">
        <f>G404-H404</f>
        <v/>
      </c>
      <c r="J404" s="11">
        <f>IF(G404=0,0,MIN(1,I404/G404))</f>
        <v/>
      </c>
    </row>
    <row r="405">
      <c r="A405" t="inlineStr">
        <is>
          <t>IMB0040144</t>
        </is>
      </c>
      <c r="B405" t="inlineStr">
        <is>
          <t>Ativos de Óleo e Gás - Frade</t>
        </is>
      </c>
      <c r="C405" t="inlineStr">
        <is>
          <t>Prio Bravo</t>
        </is>
      </c>
      <c r="D405" t="inlineStr">
        <is>
          <t>Frade</t>
        </is>
      </c>
      <c r="E405" t="inlineStr">
        <is>
          <t>Custo de abandono capitalizado (ARO)</t>
        </is>
      </c>
      <c r="F405" t="inlineStr">
        <is>
          <t>Amostral</t>
        </is>
      </c>
      <c r="G405" s="8" t="n">
        <v>30312.97</v>
      </c>
      <c r="H405" s="8" t="n">
        <v>30312.97</v>
      </c>
      <c r="I405" s="8">
        <f>G405-H405</f>
        <v/>
      </c>
      <c r="J405" s="11">
        <f>IF(G405=0,0,MIN(1,I405/G405))</f>
        <v/>
      </c>
    </row>
    <row r="406">
      <c r="A406" t="inlineStr">
        <is>
          <t>IMB0040305</t>
        </is>
      </c>
      <c r="B406" t="inlineStr">
        <is>
          <t>Ativos de Óleo e Gás - Frade</t>
        </is>
      </c>
      <c r="C406" t="inlineStr">
        <is>
          <t>Prio Forte</t>
        </is>
      </c>
      <c r="D406" t="inlineStr">
        <is>
          <t>Frade</t>
        </is>
      </c>
      <c r="E406" t="inlineStr">
        <is>
          <t>Linha flexível de produção</t>
        </is>
      </c>
      <c r="F406" t="inlineStr">
        <is>
          <t>Amostral</t>
        </is>
      </c>
      <c r="G406" s="8" t="n">
        <v>1387527.3</v>
      </c>
      <c r="H406" s="8" t="n">
        <v>1387527.3</v>
      </c>
      <c r="I406" s="8">
        <f>G406-H406</f>
        <v/>
      </c>
      <c r="J406" s="11">
        <f>IF(G406=0,0,MIN(1,I406/G406))</f>
        <v/>
      </c>
    </row>
    <row r="407">
      <c r="A407" t="inlineStr">
        <is>
          <t>IMB0040506</t>
        </is>
      </c>
      <c r="B407" t="inlineStr">
        <is>
          <t>Ativos de Óleo e Gás - Frade</t>
        </is>
      </c>
      <c r="C407" t="inlineStr">
        <is>
          <t>Prio Forte</t>
        </is>
      </c>
      <c r="D407" t="inlineStr">
        <is>
          <t>Frade</t>
        </is>
      </c>
      <c r="E407" t="inlineStr">
        <is>
          <t>Bomba centrífuga submersa (BCS)</t>
        </is>
      </c>
      <c r="F407" t="inlineStr">
        <is>
          <t>Amostral</t>
        </is>
      </c>
      <c r="G407" s="8" t="n">
        <v>9346.719999999999</v>
      </c>
      <c r="H407" s="8" t="n">
        <v>9346.719999999999</v>
      </c>
      <c r="I407" s="8">
        <f>G407-H407</f>
        <v/>
      </c>
      <c r="J407" s="11">
        <f>IF(G407=0,0,MIN(1,I407/G407))</f>
        <v/>
      </c>
    </row>
    <row r="408">
      <c r="A408" t="inlineStr">
        <is>
          <t>IMB0040669</t>
        </is>
      </c>
      <c r="B408" t="inlineStr">
        <is>
          <t>Ativos de Óleo e Gás - Frade</t>
        </is>
      </c>
      <c r="C408" t="inlineStr">
        <is>
          <t>Prio Forte</t>
        </is>
      </c>
      <c r="D408" t="inlineStr">
        <is>
          <t>Frade</t>
        </is>
      </c>
      <c r="E408" t="inlineStr">
        <is>
          <t>Jumper submarino</t>
        </is>
      </c>
      <c r="F408" t="inlineStr">
        <is>
          <t>Amostral</t>
        </is>
      </c>
      <c r="G408" s="8" t="n">
        <v>7888445.13</v>
      </c>
      <c r="H408" s="8" t="n">
        <v>7888445.13</v>
      </c>
      <c r="I408" s="8">
        <f>G408-H408</f>
        <v/>
      </c>
      <c r="J408" s="11">
        <f>IF(G408=0,0,MIN(1,I408/G408))</f>
        <v/>
      </c>
    </row>
    <row r="409">
      <c r="A409" t="inlineStr">
        <is>
          <t>IMB0040835</t>
        </is>
      </c>
      <c r="B409" t="inlineStr">
        <is>
          <t>Ativos de Óleo e Gás - Frade</t>
        </is>
      </c>
      <c r="C409" t="inlineStr">
        <is>
          <t>Prio Forte</t>
        </is>
      </c>
      <c r="D409" t="inlineStr">
        <is>
          <t>Frade</t>
        </is>
      </c>
      <c r="E409" t="inlineStr">
        <is>
          <t>Duto de exportação de gás</t>
        </is>
      </c>
      <c r="F409" t="inlineStr">
        <is>
          <t>Amostral</t>
        </is>
      </c>
      <c r="G409" s="8" t="n">
        <v>61851.44</v>
      </c>
      <c r="H409" s="8" t="n">
        <v>61851.44</v>
      </c>
      <c r="I409" s="8">
        <f>G409-H409</f>
        <v/>
      </c>
      <c r="J409" s="11">
        <f>IF(G409=0,0,MIN(1,I409/G409))</f>
        <v/>
      </c>
    </row>
    <row r="410">
      <c r="A410" t="inlineStr">
        <is>
          <t>IMB0040902</t>
        </is>
      </c>
      <c r="B410" t="inlineStr">
        <is>
          <t>Ativos de Óleo e Gás - Frade</t>
        </is>
      </c>
      <c r="C410" t="inlineStr">
        <is>
          <t>Prio Bravo</t>
        </is>
      </c>
      <c r="D410" t="inlineStr">
        <is>
          <t>Frade</t>
        </is>
      </c>
      <c r="E410" t="inlineStr">
        <is>
          <t>Sistema de gas lift</t>
        </is>
      </c>
      <c r="F410" t="inlineStr">
        <is>
          <t>Amostral</t>
        </is>
      </c>
      <c r="G410" s="8" t="n">
        <v>139113.74</v>
      </c>
      <c r="H410" s="8" t="n">
        <v>139113.74</v>
      </c>
      <c r="I410" s="8">
        <f>G410-H410</f>
        <v/>
      </c>
      <c r="J410" s="11">
        <f>IF(G410=0,0,MIN(1,I410/G410))</f>
        <v/>
      </c>
    </row>
    <row r="411">
      <c r="A411" t="inlineStr">
        <is>
          <t>IMB0041021</t>
        </is>
      </c>
      <c r="B411" t="inlineStr">
        <is>
          <t>Ativos de Óleo e Gás - Frade</t>
        </is>
      </c>
      <c r="C411" t="inlineStr">
        <is>
          <t>Prio Forte</t>
        </is>
      </c>
      <c r="D411" t="inlineStr">
        <is>
          <t>Frade</t>
        </is>
      </c>
      <c r="E411" t="inlineStr">
        <is>
          <t>Árvore de natal molhada (ANM)</t>
        </is>
      </c>
      <c r="F411" t="inlineStr">
        <is>
          <t>Amostral</t>
        </is>
      </c>
      <c r="G411" s="8" t="n">
        <v>451113.32</v>
      </c>
      <c r="H411" s="8" t="n">
        <v>451113.32</v>
      </c>
      <c r="I411" s="8">
        <f>G411-H411</f>
        <v/>
      </c>
      <c r="J411" s="11">
        <f>IF(G411=0,0,MIN(1,I411/G411))</f>
        <v/>
      </c>
    </row>
    <row r="412">
      <c r="A412" t="inlineStr">
        <is>
          <t>IMB0041196</t>
        </is>
      </c>
      <c r="B412" t="inlineStr">
        <is>
          <t>Ativos de Óleo e Gás - Frade</t>
        </is>
      </c>
      <c r="C412" t="inlineStr">
        <is>
          <t>Prio Forte</t>
        </is>
      </c>
      <c r="D412" t="inlineStr">
        <is>
          <t>Frade</t>
        </is>
      </c>
      <c r="E412" t="inlineStr">
        <is>
          <t>Manifold submarino</t>
        </is>
      </c>
      <c r="F412" t="inlineStr">
        <is>
          <t>Amostral</t>
        </is>
      </c>
      <c r="G412" s="8" t="n">
        <v>6062961.52</v>
      </c>
      <c r="H412" s="8" t="n">
        <v>6062961.52</v>
      </c>
      <c r="I412" s="8">
        <f>G412-H412</f>
        <v/>
      </c>
      <c r="J412" s="11">
        <f>IF(G412=0,0,MIN(1,I412/G412))</f>
        <v/>
      </c>
    </row>
    <row r="413">
      <c r="A413" t="inlineStr">
        <is>
          <t>IMB0041364</t>
        </is>
      </c>
      <c r="B413" t="inlineStr">
        <is>
          <t>Ativos de Óleo e Gás - Frade</t>
        </is>
      </c>
      <c r="C413" t="inlineStr">
        <is>
          <t>Prio Forte</t>
        </is>
      </c>
      <c r="D413" t="inlineStr">
        <is>
          <t>Frade</t>
        </is>
      </c>
      <c r="E413" t="inlineStr">
        <is>
          <t>Poço produtor - perfuração</t>
        </is>
      </c>
      <c r="F413" t="inlineStr">
        <is>
          <t>Amostral</t>
        </is>
      </c>
      <c r="G413" s="8" t="n">
        <v>661678.09</v>
      </c>
      <c r="H413" s="8" t="n">
        <v>661678.09</v>
      </c>
      <c r="I413" s="8">
        <f>G413-H413</f>
        <v/>
      </c>
      <c r="J413" s="11">
        <f>IF(G413=0,0,MIN(1,I413/G413))</f>
        <v/>
      </c>
    </row>
    <row r="414">
      <c r="A414" t="inlineStr">
        <is>
          <t>IMB0041601</t>
        </is>
      </c>
      <c r="B414" t="inlineStr">
        <is>
          <t>Ativos de Óleo e Gás - Frade</t>
        </is>
      </c>
      <c r="C414" t="inlineStr">
        <is>
          <t>Prio Forte</t>
        </is>
      </c>
      <c r="D414" t="inlineStr">
        <is>
          <t>Frade</t>
        </is>
      </c>
      <c r="E414" t="inlineStr">
        <is>
          <t>Custo de abandono capitalizado (ARO)</t>
        </is>
      </c>
      <c r="F414" t="inlineStr">
        <is>
          <t>Amostral</t>
        </is>
      </c>
      <c r="G414" s="8" t="n">
        <v>222946.46</v>
      </c>
      <c r="H414" s="8" t="n">
        <v>222946.46</v>
      </c>
      <c r="I414" s="8">
        <f>G414-H414</f>
        <v/>
      </c>
      <c r="J414" s="11">
        <f>IF(G414=0,0,MIN(1,I414/G414))</f>
        <v/>
      </c>
    </row>
    <row r="415">
      <c r="A415" t="inlineStr">
        <is>
          <t>IMB0041809</t>
        </is>
      </c>
      <c r="B415" t="inlineStr">
        <is>
          <t>Ativos de Óleo e Gás - Frade</t>
        </is>
      </c>
      <c r="C415" t="inlineStr">
        <is>
          <t>Prio Forte</t>
        </is>
      </c>
      <c r="D415" t="inlineStr">
        <is>
          <t>Frade</t>
        </is>
      </c>
      <c r="E415" t="inlineStr">
        <is>
          <t>Umbilical eletro-hidráulico</t>
        </is>
      </c>
      <c r="F415" t="inlineStr">
        <is>
          <t>Amostral</t>
        </is>
      </c>
      <c r="G415" s="8" t="n">
        <v>1405344.52</v>
      </c>
      <c r="H415" s="8" t="n">
        <v>1405344.52</v>
      </c>
      <c r="I415" s="8">
        <f>G415-H415</f>
        <v/>
      </c>
      <c r="J415" s="11">
        <f>IF(G415=0,0,MIN(1,I415/G415))</f>
        <v/>
      </c>
    </row>
    <row r="416">
      <c r="A416" t="inlineStr">
        <is>
          <t>IMB0042023</t>
        </is>
      </c>
      <c r="B416" t="inlineStr">
        <is>
          <t>Ativos de Óleo e Gás - Frade</t>
        </is>
      </c>
      <c r="C416" t="inlineStr">
        <is>
          <t>Prio Forte</t>
        </is>
      </c>
      <c r="D416" t="inlineStr">
        <is>
          <t>Frade</t>
        </is>
      </c>
      <c r="E416" t="inlineStr">
        <is>
          <t>Riser flexível</t>
        </is>
      </c>
      <c r="F416" t="inlineStr">
        <is>
          <t>Amostral</t>
        </is>
      </c>
      <c r="G416" s="8" t="n">
        <v>1154106.96</v>
      </c>
      <c r="H416" s="8" t="n">
        <v>1154106.96</v>
      </c>
      <c r="I416" s="8">
        <f>G416-H416</f>
        <v/>
      </c>
      <c r="J416" s="11">
        <f>IF(G416=0,0,MIN(1,I416/G416))</f>
        <v/>
      </c>
    </row>
    <row r="417">
      <c r="A417" t="inlineStr">
        <is>
          <t>IMB0042176</t>
        </is>
      </c>
      <c r="B417" t="inlineStr">
        <is>
          <t>Ativos de Óleo e Gás - Frade</t>
        </is>
      </c>
      <c r="C417" t="inlineStr">
        <is>
          <t>Prio Bravo</t>
        </is>
      </c>
      <c r="D417" t="inlineStr">
        <is>
          <t>Frade</t>
        </is>
      </c>
      <c r="E417" t="inlineStr">
        <is>
          <t>Sistema de gas lift</t>
        </is>
      </c>
      <c r="F417" t="inlineStr">
        <is>
          <t>Amostral</t>
        </is>
      </c>
      <c r="G417" s="8" t="n">
        <v>5471836.23</v>
      </c>
      <c r="H417" s="8" t="n">
        <v>5471836.23</v>
      </c>
      <c r="I417" s="8">
        <f>G417-H417</f>
        <v/>
      </c>
      <c r="J417" s="11">
        <f>IF(G417=0,0,MIN(1,I417/G417))</f>
        <v/>
      </c>
    </row>
    <row r="418">
      <c r="A418" t="inlineStr">
        <is>
          <t>IMB0042359</t>
        </is>
      </c>
      <c r="B418" t="inlineStr">
        <is>
          <t>Ativos de Óleo e Gás - Frade</t>
        </is>
      </c>
      <c r="C418" t="inlineStr">
        <is>
          <t>Prio Forte</t>
        </is>
      </c>
      <c r="D418" t="inlineStr">
        <is>
          <t>Frade</t>
        </is>
      </c>
      <c r="E418" t="inlineStr">
        <is>
          <t>Poço produtor - perfuração</t>
        </is>
      </c>
      <c r="F418" t="inlineStr">
        <is>
          <t>Amostral</t>
        </is>
      </c>
      <c r="G418" s="8" t="n">
        <v>108309.3</v>
      </c>
      <c r="H418" s="8" t="n">
        <v>108309.3</v>
      </c>
      <c r="I418" s="8">
        <f>G418-H418</f>
        <v/>
      </c>
      <c r="J418" s="11">
        <f>IF(G418=0,0,MIN(1,I418/G418))</f>
        <v/>
      </c>
    </row>
    <row r="419">
      <c r="A419" t="inlineStr">
        <is>
          <t>IMB0042566</t>
        </is>
      </c>
      <c r="B419" t="inlineStr">
        <is>
          <t>Ativos de Óleo e Gás - Frade</t>
        </is>
      </c>
      <c r="C419" t="inlineStr">
        <is>
          <t>Prio Forte</t>
        </is>
      </c>
      <c r="D419" t="inlineStr">
        <is>
          <t>Frade</t>
        </is>
      </c>
      <c r="E419" t="inlineStr">
        <is>
          <t>Sistema de gas lift</t>
        </is>
      </c>
      <c r="F419" t="inlineStr">
        <is>
          <t>Amostral</t>
        </is>
      </c>
      <c r="G419" s="8" t="n">
        <v>422357.92</v>
      </c>
      <c r="H419" s="8" t="n">
        <v>422357.92</v>
      </c>
      <c r="I419" s="8">
        <f>G419-H419</f>
        <v/>
      </c>
      <c r="J419" s="11">
        <f>IF(G419=0,0,MIN(1,I419/G419))</f>
        <v/>
      </c>
    </row>
    <row r="420">
      <c r="A420" t="inlineStr">
        <is>
          <t>IMB0042679</t>
        </is>
      </c>
      <c r="B420" t="inlineStr">
        <is>
          <t>Ativos de Óleo e Gás - Frade</t>
        </is>
      </c>
      <c r="C420" t="inlineStr">
        <is>
          <t>Prio Bravo</t>
        </is>
      </c>
      <c r="D420" t="inlineStr">
        <is>
          <t>Frade</t>
        </is>
      </c>
      <c r="E420" t="inlineStr">
        <is>
          <t>Riser flexível</t>
        </is>
      </c>
      <c r="F420" t="inlineStr">
        <is>
          <t>Amostral</t>
        </is>
      </c>
      <c r="G420" s="8" t="n">
        <v>35434.36</v>
      </c>
      <c r="H420" s="8" t="n">
        <v>35434.36</v>
      </c>
      <c r="I420" s="8">
        <f>G420-H420</f>
        <v/>
      </c>
      <c r="J420" s="11">
        <f>IF(G420=0,0,MIN(1,I420/G420))</f>
        <v/>
      </c>
    </row>
    <row r="421">
      <c r="A421" t="inlineStr">
        <is>
          <t>IMB0042863</t>
        </is>
      </c>
      <c r="B421" t="inlineStr">
        <is>
          <t>Ativos de Óleo e Gás - Frade</t>
        </is>
      </c>
      <c r="C421" t="inlineStr">
        <is>
          <t>Prio Forte</t>
        </is>
      </c>
      <c r="D421" t="inlineStr">
        <is>
          <t>Frade</t>
        </is>
      </c>
      <c r="E421" t="inlineStr">
        <is>
          <t>Poço produtor - perfuração</t>
        </is>
      </c>
      <c r="F421" t="inlineStr">
        <is>
          <t>Amostral</t>
        </is>
      </c>
      <c r="G421" s="8" t="n">
        <v>1241205.65</v>
      </c>
      <c r="H421" s="8" t="n">
        <v>1241205.65</v>
      </c>
      <c r="I421" s="8">
        <f>G421-H421</f>
        <v/>
      </c>
      <c r="J421" s="11">
        <f>IF(G421=0,0,MIN(1,I421/G421))</f>
        <v/>
      </c>
    </row>
    <row r="422">
      <c r="A422" t="inlineStr">
        <is>
          <t>IMB0043157</t>
        </is>
      </c>
      <c r="B422" t="inlineStr">
        <is>
          <t>Ativos de Óleo e Gás - Polvo &amp; TBMT</t>
        </is>
      </c>
      <c r="C422" t="inlineStr">
        <is>
          <t>Prio Bravo</t>
        </is>
      </c>
      <c r="D422" t="inlineStr">
        <is>
          <t>Polvo &amp; TBMT</t>
        </is>
      </c>
      <c r="E422" t="inlineStr">
        <is>
          <t>Linha flexível de produção</t>
        </is>
      </c>
      <c r="F422" t="inlineStr">
        <is>
          <t>Amostral</t>
        </is>
      </c>
      <c r="G422" s="8" t="n">
        <v>83126.27</v>
      </c>
      <c r="H422" s="8" t="n">
        <v>83126.27</v>
      </c>
      <c r="I422" s="8">
        <f>G422-H422</f>
        <v/>
      </c>
      <c r="J422" s="11">
        <f>IF(G422=0,0,MIN(1,I422/G422))</f>
        <v/>
      </c>
    </row>
    <row r="423">
      <c r="A423" t="inlineStr">
        <is>
          <t>IMB0043493</t>
        </is>
      </c>
      <c r="B423" t="inlineStr">
        <is>
          <t>Ativos de Óleo e Gás - Polvo &amp; TBMT</t>
        </is>
      </c>
      <c r="C423" t="inlineStr">
        <is>
          <t>Prio Bravo</t>
        </is>
      </c>
      <c r="D423" t="inlineStr">
        <is>
          <t>Polvo &amp; TBMT</t>
        </is>
      </c>
      <c r="E423" t="inlineStr">
        <is>
          <t>Poço produtor - perfuração</t>
        </is>
      </c>
      <c r="F423" t="inlineStr">
        <is>
          <t>Amostral</t>
        </is>
      </c>
      <c r="G423" s="8" t="n">
        <v>71120.99000000001</v>
      </c>
      <c r="H423" s="8" t="n">
        <v>71120.99000000001</v>
      </c>
      <c r="I423" s="8">
        <f>G423-H423</f>
        <v/>
      </c>
      <c r="J423" s="11">
        <f>IF(G423=0,0,MIN(1,I423/G423))</f>
        <v/>
      </c>
    </row>
    <row r="424">
      <c r="A424" t="inlineStr">
        <is>
          <t>IMB0043925</t>
        </is>
      </c>
      <c r="B424" t="inlineStr">
        <is>
          <t>Ativos de Óleo e Gás - Polvo &amp; TBMT</t>
        </is>
      </c>
      <c r="C424" t="inlineStr">
        <is>
          <t>Prio Bravo</t>
        </is>
      </c>
      <c r="D424" t="inlineStr">
        <is>
          <t>Polvo &amp; TBMT</t>
        </is>
      </c>
      <c r="E424" t="inlineStr">
        <is>
          <t>Duto de exportação de gás</t>
        </is>
      </c>
      <c r="F424" t="inlineStr">
        <is>
          <t>Amostral</t>
        </is>
      </c>
      <c r="G424" s="8" t="n">
        <v>113286.98</v>
      </c>
      <c r="H424" s="8" t="n">
        <v>113286.98</v>
      </c>
      <c r="I424" s="8">
        <f>G424-H424</f>
        <v/>
      </c>
      <c r="J424" s="11">
        <f>IF(G424=0,0,MIN(1,I424/G424))</f>
        <v/>
      </c>
    </row>
    <row r="425">
      <c r="A425" t="inlineStr">
        <is>
          <t>IMB0044327</t>
        </is>
      </c>
      <c r="B425" t="inlineStr">
        <is>
          <t>Ativos de Óleo e Gás - Polvo &amp; TBMT</t>
        </is>
      </c>
      <c r="C425" t="inlineStr">
        <is>
          <t>Prio Bravo</t>
        </is>
      </c>
      <c r="D425" t="inlineStr">
        <is>
          <t>Polvo &amp; TBMT</t>
        </is>
      </c>
      <c r="E425" t="inlineStr">
        <is>
          <t>Árvore de natal molhada (ANM)</t>
        </is>
      </c>
      <c r="F425" t="inlineStr">
        <is>
          <t>Amostral</t>
        </is>
      </c>
      <c r="G425" s="8" t="n">
        <v>92842.16</v>
      </c>
      <c r="H425" s="8" t="n">
        <v>92842.16</v>
      </c>
      <c r="I425" s="8">
        <f>G425-H425</f>
        <v/>
      </c>
      <c r="J425" s="11">
        <f>IF(G425=0,0,MIN(1,I425/G425))</f>
        <v/>
      </c>
    </row>
    <row r="426">
      <c r="A426" t="inlineStr">
        <is>
          <t>IMB0044837</t>
        </is>
      </c>
      <c r="B426" t="inlineStr">
        <is>
          <t>Ativos de Óleo e Gás - Polvo &amp; TBMT</t>
        </is>
      </c>
      <c r="C426" t="inlineStr">
        <is>
          <t>Prio Bravo</t>
        </is>
      </c>
      <c r="D426" t="inlineStr">
        <is>
          <t>Polvo &amp; TBMT</t>
        </is>
      </c>
      <c r="E426" t="inlineStr">
        <is>
          <t>Jumper submarino</t>
        </is>
      </c>
      <c r="F426" t="inlineStr">
        <is>
          <t>Amostral</t>
        </is>
      </c>
      <c r="G426" s="8" t="n">
        <v>49726.81</v>
      </c>
      <c r="H426" s="8" t="n">
        <v>49726.81</v>
      </c>
      <c r="I426" s="8">
        <f>G426-H426</f>
        <v/>
      </c>
      <c r="J426" s="11">
        <f>IF(G426=0,0,MIN(1,I426/G426))</f>
        <v/>
      </c>
    </row>
    <row r="427">
      <c r="A427" t="inlineStr">
        <is>
          <t>IMB0045177</t>
        </is>
      </c>
      <c r="B427" t="inlineStr">
        <is>
          <t>Ativos de Óleo e Gás - Polvo &amp; TBMT</t>
        </is>
      </c>
      <c r="C427" t="inlineStr">
        <is>
          <t>Prio Bravo</t>
        </is>
      </c>
      <c r="D427" t="inlineStr">
        <is>
          <t>Polvo &amp; TBMT</t>
        </is>
      </c>
      <c r="E427" t="inlineStr">
        <is>
          <t>Riser flexível</t>
        </is>
      </c>
      <c r="F427" t="inlineStr">
        <is>
          <t>Amostral</t>
        </is>
      </c>
      <c r="G427" s="8" t="n">
        <v>352286.39</v>
      </c>
      <c r="H427" s="8" t="n">
        <v>352286.39</v>
      </c>
      <c r="I427" s="8">
        <f>G427-H427</f>
        <v/>
      </c>
      <c r="J427" s="11">
        <f>IF(G427=0,0,MIN(1,I427/G427))</f>
        <v/>
      </c>
    </row>
    <row r="428">
      <c r="A428" t="inlineStr">
        <is>
          <t>IMB0045618</t>
        </is>
      </c>
      <c r="B428" t="inlineStr">
        <is>
          <t>Ativos de Óleo e Gás - Polvo &amp; TBMT</t>
        </is>
      </c>
      <c r="C428" t="inlineStr">
        <is>
          <t>Prio Bravo</t>
        </is>
      </c>
      <c r="D428" t="inlineStr">
        <is>
          <t>Polvo &amp; TBMT</t>
        </is>
      </c>
      <c r="E428" t="inlineStr">
        <is>
          <t>Custo de abandono capitalizado (ARO)</t>
        </is>
      </c>
      <c r="F428" t="inlineStr">
        <is>
          <t>Amostral</t>
        </is>
      </c>
      <c r="G428" s="8" t="n">
        <v>1155837.61</v>
      </c>
      <c r="H428" s="8" t="n">
        <v>1155837.61</v>
      </c>
      <c r="I428" s="8">
        <f>G428-H428</f>
        <v/>
      </c>
      <c r="J428" s="11">
        <f>IF(G428=0,0,MIN(1,I428/G428))</f>
        <v/>
      </c>
    </row>
    <row r="429">
      <c r="A429" t="inlineStr">
        <is>
          <t>IMB0046016</t>
        </is>
      </c>
      <c r="B429" t="inlineStr">
        <is>
          <t>Ativos de Óleo e Gás - Polvo &amp; TBMT</t>
        </is>
      </c>
      <c r="C429" t="inlineStr">
        <is>
          <t>Prio Bravo</t>
        </is>
      </c>
      <c r="D429" t="inlineStr">
        <is>
          <t>Polvo &amp; TBMT</t>
        </is>
      </c>
      <c r="E429" t="inlineStr">
        <is>
          <t>Equipamento de controle submarino (SCM)</t>
        </is>
      </c>
      <c r="F429" t="inlineStr">
        <is>
          <t>Amostral</t>
        </is>
      </c>
      <c r="G429" s="8" t="n">
        <v>121277.86</v>
      </c>
      <c r="H429" s="8" t="n">
        <v>121277.86</v>
      </c>
      <c r="I429" s="8">
        <f>G429-H429</f>
        <v/>
      </c>
      <c r="J429" s="11">
        <f>IF(G429=0,0,MIN(1,I429/G429))</f>
        <v/>
      </c>
    </row>
    <row r="430">
      <c r="A430" t="inlineStr">
        <is>
          <t>IMB0046419</t>
        </is>
      </c>
      <c r="B430" t="inlineStr">
        <is>
          <t>Ativos de Óleo e Gás - Polvo &amp; TBMT</t>
        </is>
      </c>
      <c r="C430" t="inlineStr">
        <is>
          <t>Prio Bravo</t>
        </is>
      </c>
      <c r="D430" t="inlineStr">
        <is>
          <t>Polvo &amp; TBMT</t>
        </is>
      </c>
      <c r="E430" t="inlineStr">
        <is>
          <t>Poço injetor - perfuração</t>
        </is>
      </c>
      <c r="F430" t="inlineStr">
        <is>
          <t>Amostral</t>
        </is>
      </c>
      <c r="G430" s="8" t="n">
        <v>48974.74</v>
      </c>
      <c r="H430" s="8" t="n">
        <v>48974.74</v>
      </c>
      <c r="I430" s="8">
        <f>G430-H430</f>
        <v/>
      </c>
      <c r="J430" s="11">
        <f>IF(G430=0,0,MIN(1,I430/G430))</f>
        <v/>
      </c>
    </row>
    <row r="431">
      <c r="A431" t="inlineStr">
        <is>
          <t>IMB0046835</t>
        </is>
      </c>
      <c r="B431" t="inlineStr">
        <is>
          <t>Ativos de Óleo e Gás - Polvo &amp; TBMT</t>
        </is>
      </c>
      <c r="C431" t="inlineStr">
        <is>
          <t>Prio Bravo</t>
        </is>
      </c>
      <c r="D431" t="inlineStr">
        <is>
          <t>Polvo &amp; TBMT</t>
        </is>
      </c>
      <c r="E431" t="inlineStr">
        <is>
          <t>Poço injetor - perfuração</t>
        </is>
      </c>
      <c r="F431" t="inlineStr">
        <is>
          <t>Amostral</t>
        </is>
      </c>
      <c r="G431" s="8" t="n">
        <v>35680.76</v>
      </c>
      <c r="H431" s="8" t="n">
        <v>35680.76</v>
      </c>
      <c r="I431" s="8">
        <f>G431-H431</f>
        <v/>
      </c>
      <c r="J431" s="11">
        <f>IF(G431=0,0,MIN(1,I431/G431))</f>
        <v/>
      </c>
    </row>
    <row r="432">
      <c r="A432" t="inlineStr">
        <is>
          <t>IMB0047333</t>
        </is>
      </c>
      <c r="B432" t="inlineStr">
        <is>
          <t>Ativos de Óleo e Gás - Polvo &amp; TBMT</t>
        </is>
      </c>
      <c r="C432" t="inlineStr">
        <is>
          <t>Prio Bravo</t>
        </is>
      </c>
      <c r="D432" t="inlineStr">
        <is>
          <t>Polvo &amp; TBMT</t>
        </is>
      </c>
      <c r="E432" t="inlineStr">
        <is>
          <t>Equipamento de controle submarino (SCM)</t>
        </is>
      </c>
      <c r="F432" t="inlineStr">
        <is>
          <t>Amostral</t>
        </is>
      </c>
      <c r="G432" s="8" t="n">
        <v>86782.02</v>
      </c>
      <c r="H432" s="8" t="n">
        <v>86782.02</v>
      </c>
      <c r="I432" s="8">
        <f>G432-H432</f>
        <v/>
      </c>
      <c r="J432" s="11">
        <f>IF(G432=0,0,MIN(1,I432/G432))</f>
        <v/>
      </c>
    </row>
    <row r="433">
      <c r="A433" t="inlineStr">
        <is>
          <t>IMB0047626</t>
        </is>
      </c>
      <c r="B433" t="inlineStr">
        <is>
          <t>Ativos de Óleo e Gás - Polvo &amp; TBMT</t>
        </is>
      </c>
      <c r="C433" t="inlineStr">
        <is>
          <t>Prio Bravo</t>
        </is>
      </c>
      <c r="D433" t="inlineStr">
        <is>
          <t>Polvo &amp; TBMT</t>
        </is>
      </c>
      <c r="E433" t="inlineStr">
        <is>
          <t>Poço produtor - perfuração</t>
        </is>
      </c>
      <c r="F433" t="inlineStr">
        <is>
          <t>Amostral</t>
        </is>
      </c>
      <c r="G433" s="8" t="n">
        <v>20073.38</v>
      </c>
      <c r="H433" s="8" t="n">
        <v>20073.38</v>
      </c>
      <c r="I433" s="8">
        <f>G433-H433</f>
        <v/>
      </c>
      <c r="J433" s="11">
        <f>IF(G433=0,0,MIN(1,I433/G433))</f>
        <v/>
      </c>
    </row>
    <row r="434">
      <c r="A434" t="inlineStr">
        <is>
          <t>IMB0048085</t>
        </is>
      </c>
      <c r="B434" t="inlineStr">
        <is>
          <t>Ativos de Óleo e Gás - Polvo &amp; TBMT</t>
        </is>
      </c>
      <c r="C434" t="inlineStr">
        <is>
          <t>Prio Bravo</t>
        </is>
      </c>
      <c r="D434" t="inlineStr">
        <is>
          <t>Polvo &amp; TBMT</t>
        </is>
      </c>
      <c r="E434" t="inlineStr">
        <is>
          <t>Sistema de gas lift</t>
        </is>
      </c>
      <c r="F434" t="inlineStr">
        <is>
          <t>Amostral</t>
        </is>
      </c>
      <c r="G434" s="8" t="n">
        <v>1908923.18</v>
      </c>
      <c r="H434" s="8" t="n">
        <v>1908923.18</v>
      </c>
      <c r="I434" s="8">
        <f>G434-H434</f>
        <v/>
      </c>
      <c r="J434" s="11">
        <f>IF(G434=0,0,MIN(1,I434/G434))</f>
        <v/>
      </c>
    </row>
    <row r="435">
      <c r="A435" t="inlineStr">
        <is>
          <t>IMB0048577</t>
        </is>
      </c>
      <c r="B435" t="inlineStr">
        <is>
          <t>Ativos de Óleo e Gás - Polvo &amp; TBMT</t>
        </is>
      </c>
      <c r="C435" t="inlineStr">
        <is>
          <t>Prio Bravo</t>
        </is>
      </c>
      <c r="D435" t="inlineStr">
        <is>
          <t>Polvo &amp; TBMT</t>
        </is>
      </c>
      <c r="E435" t="inlineStr">
        <is>
          <t>Equipamento de controle submarino (SCM)</t>
        </is>
      </c>
      <c r="F435" t="inlineStr">
        <is>
          <t>Amostral</t>
        </is>
      </c>
      <c r="G435" s="8" t="n">
        <v>584037.01</v>
      </c>
      <c r="H435" s="8" t="n">
        <v>584037.01</v>
      </c>
      <c r="I435" s="8">
        <f>G435-H435</f>
        <v/>
      </c>
      <c r="J435" s="11">
        <f>IF(G435=0,0,MIN(1,I435/G435))</f>
        <v/>
      </c>
    </row>
    <row r="436">
      <c r="A436" t="inlineStr">
        <is>
          <t>IMB0049087</t>
        </is>
      </c>
      <c r="B436" t="inlineStr">
        <is>
          <t>Ativos de Óleo e Gás - Polvo &amp; TBMT</t>
        </is>
      </c>
      <c r="C436" t="inlineStr">
        <is>
          <t>Prio Bravo</t>
        </is>
      </c>
      <c r="D436" t="inlineStr">
        <is>
          <t>Polvo &amp; TBMT</t>
        </is>
      </c>
      <c r="E436" t="inlineStr">
        <is>
          <t>Poço produtor - completação</t>
        </is>
      </c>
      <c r="F436" t="inlineStr">
        <is>
          <t>Amostral</t>
        </is>
      </c>
      <c r="G436" s="8" t="n">
        <v>219046.67</v>
      </c>
      <c r="H436" s="8" t="n">
        <v>219046.67</v>
      </c>
      <c r="I436" s="8">
        <f>G436-H436</f>
        <v/>
      </c>
      <c r="J436" s="11">
        <f>IF(G436=0,0,MIN(1,I436/G436))</f>
        <v/>
      </c>
    </row>
    <row r="437">
      <c r="A437" t="inlineStr">
        <is>
          <t>IMB0049447</t>
        </is>
      </c>
      <c r="B437" t="inlineStr">
        <is>
          <t>Ativos de Óleo e Gás - Polvo &amp; TBMT</t>
        </is>
      </c>
      <c r="C437" t="inlineStr">
        <is>
          <t>Prio Bravo</t>
        </is>
      </c>
      <c r="D437" t="inlineStr">
        <is>
          <t>Polvo &amp; TBMT</t>
        </is>
      </c>
      <c r="E437" t="inlineStr">
        <is>
          <t>Bomba centrífuga submersa (BCS)</t>
        </is>
      </c>
      <c r="F437" t="inlineStr">
        <is>
          <t>Amostral</t>
        </is>
      </c>
      <c r="G437" s="8" t="n">
        <v>1451401.92</v>
      </c>
      <c r="H437" s="8" t="n">
        <v>1451401.92</v>
      </c>
      <c r="I437" s="8">
        <f>G437-H437</f>
        <v/>
      </c>
      <c r="J437" s="11">
        <f>IF(G437=0,0,MIN(1,I437/G437))</f>
        <v/>
      </c>
    </row>
    <row r="438">
      <c r="A438" t="inlineStr">
        <is>
          <t>IMB0049830</t>
        </is>
      </c>
      <c r="B438" t="inlineStr">
        <is>
          <t>Ativos de Óleo e Gás - Polvo &amp; TBMT</t>
        </is>
      </c>
      <c r="C438" t="inlineStr">
        <is>
          <t>Prio Bravo</t>
        </is>
      </c>
      <c r="D438" t="inlineStr">
        <is>
          <t>Polvo &amp; TBMT</t>
        </is>
      </c>
      <c r="E438" t="inlineStr">
        <is>
          <t>Árvore de natal molhada (ANM)</t>
        </is>
      </c>
      <c r="F438" t="inlineStr">
        <is>
          <t>Amostral</t>
        </is>
      </c>
      <c r="G438" s="8" t="n">
        <v>51340.25</v>
      </c>
      <c r="H438" s="8" t="n">
        <v>51340.25</v>
      </c>
      <c r="I438" s="8">
        <f>G438-H438</f>
        <v/>
      </c>
      <c r="J438" s="11">
        <f>IF(G438=0,0,MIN(1,I438/G438))</f>
        <v/>
      </c>
    </row>
    <row r="439">
      <c r="A439" t="inlineStr">
        <is>
          <t>IMB0050226</t>
        </is>
      </c>
      <c r="B439" t="inlineStr">
        <is>
          <t>Ativos de Óleo e Gás - Polvo &amp; TBMT</t>
        </is>
      </c>
      <c r="C439" t="inlineStr">
        <is>
          <t>Prio Bravo</t>
        </is>
      </c>
      <c r="D439" t="inlineStr">
        <is>
          <t>Polvo &amp; TBMT</t>
        </is>
      </c>
      <c r="E439" t="inlineStr">
        <is>
          <t>Custo de abandono capitalizado (ARO)</t>
        </is>
      </c>
      <c r="F439" t="inlineStr">
        <is>
          <t>Amostral</t>
        </is>
      </c>
      <c r="G439" s="8" t="n">
        <v>627421.04</v>
      </c>
      <c r="H439" s="8" t="n">
        <v>627421.04</v>
      </c>
      <c r="I439" s="8">
        <f>G439-H439</f>
        <v/>
      </c>
      <c r="J439" s="11">
        <f>IF(G439=0,0,MIN(1,I439/G439))</f>
        <v/>
      </c>
    </row>
    <row r="440">
      <c r="A440" t="inlineStr">
        <is>
          <t>IMB0050639</t>
        </is>
      </c>
      <c r="B440" t="inlineStr">
        <is>
          <t>Ativos de Óleo e Gás - Polvo &amp; TBMT</t>
        </is>
      </c>
      <c r="C440" t="inlineStr">
        <is>
          <t>Prio Bravo</t>
        </is>
      </c>
      <c r="D440" t="inlineStr">
        <is>
          <t>Polvo &amp; TBMT</t>
        </is>
      </c>
      <c r="E440" t="inlineStr">
        <is>
          <t>Custo de abandono capitalizado (ARO)</t>
        </is>
      </c>
      <c r="F440" t="inlineStr">
        <is>
          <t>Amostral</t>
        </is>
      </c>
      <c r="G440" s="8" t="n">
        <v>249257.97</v>
      </c>
      <c r="H440" s="8" t="n">
        <v>249257.97</v>
      </c>
      <c r="I440" s="8">
        <f>G440-H440</f>
        <v/>
      </c>
      <c r="J440" s="11">
        <f>IF(G440=0,0,MIN(1,I440/G440))</f>
        <v/>
      </c>
    </row>
    <row r="441">
      <c r="A441" t="inlineStr">
        <is>
          <t>IMB0051001</t>
        </is>
      </c>
      <c r="B441" t="inlineStr">
        <is>
          <t>Ativos de Óleo e Gás - Peregrino</t>
        </is>
      </c>
      <c r="C441" t="inlineStr">
        <is>
          <t>Prio Tigris</t>
        </is>
      </c>
      <c r="D441" t="inlineStr">
        <is>
          <t>Peregrino</t>
        </is>
      </c>
      <c r="E441" t="inlineStr">
        <is>
          <t>Sistema de gas lift</t>
        </is>
      </c>
      <c r="F441" t="inlineStr">
        <is>
          <t>Amostral</t>
        </is>
      </c>
      <c r="G441" s="8" t="n">
        <v>974047.87</v>
      </c>
      <c r="H441" s="8" t="n">
        <v>974047.87</v>
      </c>
      <c r="I441" s="8">
        <f>G441-H441</f>
        <v/>
      </c>
      <c r="J441" s="11">
        <f>IF(G441=0,0,MIN(1,I441/G441))</f>
        <v/>
      </c>
    </row>
    <row r="442">
      <c r="A442" t="inlineStr">
        <is>
          <t>IMB0051086</t>
        </is>
      </c>
      <c r="B442" t="inlineStr">
        <is>
          <t>Ativos de Óleo e Gás - Peregrino</t>
        </is>
      </c>
      <c r="C442" t="inlineStr">
        <is>
          <t>Prio Tigris</t>
        </is>
      </c>
      <c r="D442" t="inlineStr">
        <is>
          <t>Peregrino</t>
        </is>
      </c>
      <c r="E442" t="inlineStr">
        <is>
          <t>Poço produtor - perfuração</t>
        </is>
      </c>
      <c r="F442" t="inlineStr">
        <is>
          <t>Amostral</t>
        </is>
      </c>
      <c r="G442" s="8" t="n">
        <v>982596.01</v>
      </c>
      <c r="H442" s="8" t="n">
        <v>982596.01</v>
      </c>
      <c r="I442" s="8">
        <f>G442-H442</f>
        <v/>
      </c>
      <c r="J442" s="11">
        <f>IF(G442=0,0,MIN(1,I442/G442))</f>
        <v/>
      </c>
    </row>
    <row r="443">
      <c r="A443" t="inlineStr">
        <is>
          <t>IMB0051175</t>
        </is>
      </c>
      <c r="B443" t="inlineStr">
        <is>
          <t>Ativos de Óleo e Gás - Peregrino</t>
        </is>
      </c>
      <c r="C443" t="inlineStr">
        <is>
          <t>Prio Tigris</t>
        </is>
      </c>
      <c r="D443" t="inlineStr">
        <is>
          <t>Peregrino</t>
        </is>
      </c>
      <c r="E443" t="inlineStr">
        <is>
          <t>Duto de exportação de gás</t>
        </is>
      </c>
      <c r="F443" t="inlineStr">
        <is>
          <t>Amostral</t>
        </is>
      </c>
      <c r="G443" s="8" t="n">
        <v>6096573.78</v>
      </c>
      <c r="H443" s="8" t="n">
        <v>6096573.78</v>
      </c>
      <c r="I443" s="8">
        <f>G443-H443</f>
        <v/>
      </c>
      <c r="J443" s="11">
        <f>IF(G443=0,0,MIN(1,I443/G443))</f>
        <v/>
      </c>
    </row>
    <row r="444">
      <c r="A444" t="inlineStr">
        <is>
          <t>IMB0051285</t>
        </is>
      </c>
      <c r="B444" t="inlineStr">
        <is>
          <t>Ativos de Óleo e Gás - Peregrino</t>
        </is>
      </c>
      <c r="C444" t="inlineStr">
        <is>
          <t>Prio Tigris</t>
        </is>
      </c>
      <c r="D444" t="inlineStr">
        <is>
          <t>Peregrino</t>
        </is>
      </c>
      <c r="E444" t="inlineStr">
        <is>
          <t>Manifold submarino</t>
        </is>
      </c>
      <c r="F444" t="inlineStr">
        <is>
          <t>Amostral</t>
        </is>
      </c>
      <c r="G444" s="8" t="n">
        <v>1674926.23</v>
      </c>
      <c r="H444" s="8" t="n">
        <v>1674926.23</v>
      </c>
      <c r="I444" s="8">
        <f>G444-H444</f>
        <v/>
      </c>
      <c r="J444" s="11">
        <f>IF(G444=0,0,MIN(1,I444/G444))</f>
        <v/>
      </c>
    </row>
    <row r="445">
      <c r="A445" t="inlineStr">
        <is>
          <t>IMB0051369</t>
        </is>
      </c>
      <c r="B445" t="inlineStr">
        <is>
          <t>Ativos de Óleo e Gás - Peregrino</t>
        </is>
      </c>
      <c r="C445" t="inlineStr">
        <is>
          <t>Prio Tigris</t>
        </is>
      </c>
      <c r="D445" t="inlineStr">
        <is>
          <t>Peregrino</t>
        </is>
      </c>
      <c r="E445" t="inlineStr">
        <is>
          <t>Poço produtor - perfuração</t>
        </is>
      </c>
      <c r="F445" t="inlineStr">
        <is>
          <t>Amostral</t>
        </is>
      </c>
      <c r="G445" s="8" t="n">
        <v>803292.8</v>
      </c>
      <c r="H445" s="8" t="n">
        <v>803292.8</v>
      </c>
      <c r="I445" s="8">
        <f>G445-H445</f>
        <v/>
      </c>
      <c r="J445" s="11">
        <f>IF(G445=0,0,MIN(1,I445/G445))</f>
        <v/>
      </c>
    </row>
    <row r="446">
      <c r="A446" t="inlineStr">
        <is>
          <t>IMB0051398</t>
        </is>
      </c>
      <c r="B446" t="inlineStr">
        <is>
          <t>Ativos de Óleo e Gás - Peregrino</t>
        </is>
      </c>
      <c r="C446" t="inlineStr">
        <is>
          <t>Prio Tigris</t>
        </is>
      </c>
      <c r="D446" t="inlineStr">
        <is>
          <t>Peregrino</t>
        </is>
      </c>
      <c r="E446" t="inlineStr">
        <is>
          <t>Poço produtor - perfuração</t>
        </is>
      </c>
      <c r="F446" t="inlineStr">
        <is>
          <t>Topo (&gt;= intervalo)</t>
        </is>
      </c>
      <c r="G446" s="8" t="n">
        <v>42832710.33</v>
      </c>
      <c r="H446" s="8" t="n">
        <v>42832710.33</v>
      </c>
      <c r="I446" s="8">
        <f>G446-H446</f>
        <v/>
      </c>
      <c r="J446" s="11">
        <f>IF(G446=0,0,MIN(1,I446/G446))</f>
        <v/>
      </c>
    </row>
    <row r="447">
      <c r="A447" t="inlineStr">
        <is>
          <t>IMB0051447</t>
        </is>
      </c>
      <c r="B447" t="inlineStr">
        <is>
          <t>Ativos de Óleo e Gás - Peregrino</t>
        </is>
      </c>
      <c r="C447" t="inlineStr">
        <is>
          <t>Prio Tigris</t>
        </is>
      </c>
      <c r="D447" t="inlineStr">
        <is>
          <t>Peregrino</t>
        </is>
      </c>
      <c r="E447" t="inlineStr">
        <is>
          <t>Equipamento de controle submarino (SCM)</t>
        </is>
      </c>
      <c r="F447" t="inlineStr">
        <is>
          <t>Amostral</t>
        </is>
      </c>
      <c r="G447" s="8" t="n">
        <v>636466.72</v>
      </c>
      <c r="H447" s="8" t="n">
        <v>636466.72</v>
      </c>
      <c r="I447" s="8">
        <f>G447-H447</f>
        <v/>
      </c>
      <c r="J447" s="11">
        <f>IF(G447=0,0,MIN(1,I447/G447))</f>
        <v/>
      </c>
    </row>
    <row r="448">
      <c r="A448" t="inlineStr">
        <is>
          <t>IMB0051548</t>
        </is>
      </c>
      <c r="B448" t="inlineStr">
        <is>
          <t>Ativos de Óleo e Gás - Peregrino</t>
        </is>
      </c>
      <c r="C448" t="inlineStr">
        <is>
          <t>Prio Tigris</t>
        </is>
      </c>
      <c r="D448" t="inlineStr">
        <is>
          <t>Peregrino</t>
        </is>
      </c>
      <c r="E448" t="inlineStr">
        <is>
          <t>Riser flexível</t>
        </is>
      </c>
      <c r="F448" t="inlineStr">
        <is>
          <t>Amostral</t>
        </is>
      </c>
      <c r="G448" s="8" t="n">
        <v>422845.85</v>
      </c>
      <c r="H448" s="8" t="n">
        <v>422845.85</v>
      </c>
      <c r="I448" s="8">
        <f>G448-H448</f>
        <v/>
      </c>
      <c r="J448" s="11">
        <f>IF(G448=0,0,MIN(1,I448/G448))</f>
        <v/>
      </c>
    </row>
    <row r="449">
      <c r="A449" t="inlineStr">
        <is>
          <t>IMB0051586</t>
        </is>
      </c>
      <c r="B449" t="inlineStr">
        <is>
          <t>Ativos de Óleo e Gás - Peregrino</t>
        </is>
      </c>
      <c r="C449" t="inlineStr">
        <is>
          <t>Prio Tigris</t>
        </is>
      </c>
      <c r="D449" t="inlineStr">
        <is>
          <t>Peregrino</t>
        </is>
      </c>
      <c r="E449" t="inlineStr">
        <is>
          <t>Jumper submarino</t>
        </is>
      </c>
      <c r="F449" t="inlineStr">
        <is>
          <t>Amostral</t>
        </is>
      </c>
      <c r="G449" s="8" t="n">
        <v>7805771.45</v>
      </c>
      <c r="H449" s="8" t="n">
        <v>7805771.45</v>
      </c>
      <c r="I449" s="8">
        <f>G449-H449</f>
        <v/>
      </c>
      <c r="J449" s="11">
        <f>IF(G449=0,0,MIN(1,I449/G449))</f>
        <v/>
      </c>
    </row>
    <row r="450">
      <c r="A450" t="inlineStr">
        <is>
          <t>IMB0051642</t>
        </is>
      </c>
      <c r="B450" t="inlineStr">
        <is>
          <t>Ativos de Óleo e Gás - Peregrino</t>
        </is>
      </c>
      <c r="C450" t="inlineStr">
        <is>
          <t>Prio Tigris</t>
        </is>
      </c>
      <c r="D450" t="inlineStr">
        <is>
          <t>Peregrino</t>
        </is>
      </c>
      <c r="E450" t="inlineStr">
        <is>
          <t>Poço injetor - perfuração</t>
        </is>
      </c>
      <c r="F450" t="inlineStr">
        <is>
          <t>Amostral</t>
        </is>
      </c>
      <c r="G450" s="8" t="n">
        <v>2413662.99</v>
      </c>
      <c r="H450" s="8" t="n">
        <v>2413662.99</v>
      </c>
      <c r="I450" s="8">
        <f>G450-H450</f>
        <v/>
      </c>
      <c r="J450" s="11">
        <f>IF(G450=0,0,MIN(1,I450/G450))</f>
        <v/>
      </c>
    </row>
    <row r="451">
      <c r="A451" t="inlineStr">
        <is>
          <t>IMB0051716</t>
        </is>
      </c>
      <c r="B451" t="inlineStr">
        <is>
          <t>Ativos de Óleo e Gás - Peregrino</t>
        </is>
      </c>
      <c r="C451" t="inlineStr">
        <is>
          <t>Prio Tigris</t>
        </is>
      </c>
      <c r="D451" t="inlineStr">
        <is>
          <t>Peregrino</t>
        </is>
      </c>
      <c r="E451" t="inlineStr">
        <is>
          <t>Bomba centrífuga submersa (BCS)</t>
        </is>
      </c>
      <c r="F451" t="inlineStr">
        <is>
          <t>Amostral</t>
        </is>
      </c>
      <c r="G451" s="8" t="n">
        <v>919192.24</v>
      </c>
      <c r="H451" s="8" t="n">
        <v>919192.24</v>
      </c>
      <c r="I451" s="8">
        <f>G451-H451</f>
        <v/>
      </c>
      <c r="J451" s="11">
        <f>IF(G451=0,0,MIN(1,I451/G451))</f>
        <v/>
      </c>
    </row>
    <row r="452">
      <c r="A452" t="inlineStr">
        <is>
          <t>IMB0051778</t>
        </is>
      </c>
      <c r="B452" t="inlineStr">
        <is>
          <t>Ativos de Óleo e Gás - Peregrino</t>
        </is>
      </c>
      <c r="C452" t="inlineStr">
        <is>
          <t>Prio Tigris</t>
        </is>
      </c>
      <c r="D452" t="inlineStr">
        <is>
          <t>Peregrino</t>
        </is>
      </c>
      <c r="E452" t="inlineStr">
        <is>
          <t>Jumper submarino</t>
        </is>
      </c>
      <c r="F452" t="inlineStr">
        <is>
          <t>Amostral</t>
        </is>
      </c>
      <c r="G452" s="8" t="n">
        <v>2173961.06</v>
      </c>
      <c r="H452" s="8" t="n">
        <v>2173961.06</v>
      </c>
      <c r="I452" s="8">
        <f>G452-H452</f>
        <v/>
      </c>
      <c r="J452" s="11">
        <f>IF(G452=0,0,MIN(1,I452/G452))</f>
        <v/>
      </c>
    </row>
    <row r="453">
      <c r="A453" t="inlineStr">
        <is>
          <t>IMB0051820</t>
        </is>
      </c>
      <c r="B453" t="inlineStr">
        <is>
          <t>Ativos de Óleo e Gás - Peregrino</t>
        </is>
      </c>
      <c r="C453" t="inlineStr">
        <is>
          <t>Prio Tigris</t>
        </is>
      </c>
      <c r="D453" t="inlineStr">
        <is>
          <t>Peregrino</t>
        </is>
      </c>
      <c r="E453" t="inlineStr">
        <is>
          <t>Custo de abandono capitalizado (ARO)</t>
        </is>
      </c>
      <c r="F453" t="inlineStr">
        <is>
          <t>Amostral</t>
        </is>
      </c>
      <c r="G453" s="8" t="n">
        <v>219167.35</v>
      </c>
      <c r="H453" s="8" t="n">
        <v>219167.35</v>
      </c>
      <c r="I453" s="8">
        <f>G453-H453</f>
        <v/>
      </c>
      <c r="J453" s="11">
        <f>IF(G453=0,0,MIN(1,I453/G453))</f>
        <v/>
      </c>
    </row>
    <row r="454">
      <c r="A454" t="inlineStr">
        <is>
          <t>IMB0051895</t>
        </is>
      </c>
      <c r="B454" t="inlineStr">
        <is>
          <t>Ativos de Óleo e Gás - Peregrino</t>
        </is>
      </c>
      <c r="C454" t="inlineStr">
        <is>
          <t>Prio Tigris</t>
        </is>
      </c>
      <c r="D454" t="inlineStr">
        <is>
          <t>Peregrino</t>
        </is>
      </c>
      <c r="E454" t="inlineStr">
        <is>
          <t>Equipamento de controle submarino (SCM)</t>
        </is>
      </c>
      <c r="F454" t="inlineStr">
        <is>
          <t>Amostral</t>
        </is>
      </c>
      <c r="G454" s="8" t="n">
        <v>1511443.85</v>
      </c>
      <c r="H454" s="8" t="n">
        <v>1511443.85</v>
      </c>
      <c r="I454" s="8">
        <f>G454-H454</f>
        <v/>
      </c>
      <c r="J454" s="11">
        <f>IF(G454=0,0,MIN(1,I454/G454))</f>
        <v/>
      </c>
    </row>
    <row r="455">
      <c r="A455" t="inlineStr">
        <is>
          <t>IMB0051974</t>
        </is>
      </c>
      <c r="B455" t="inlineStr">
        <is>
          <t>Ativos de Óleo e Gás - Peregrino</t>
        </is>
      </c>
      <c r="C455" t="inlineStr">
        <is>
          <t>Prio Tigris</t>
        </is>
      </c>
      <c r="D455" t="inlineStr">
        <is>
          <t>Peregrino</t>
        </is>
      </c>
      <c r="E455" t="inlineStr">
        <is>
          <t>Riser flexível</t>
        </is>
      </c>
      <c r="F455" t="inlineStr">
        <is>
          <t>Amostral</t>
        </is>
      </c>
      <c r="G455" s="8" t="n">
        <v>515618.62</v>
      </c>
      <c r="H455" s="8" t="n">
        <v>515618.62</v>
      </c>
      <c r="I455" s="8">
        <f>G455-H455</f>
        <v/>
      </c>
      <c r="J455" s="11">
        <f>IF(G455=0,0,MIN(1,I455/G455))</f>
        <v/>
      </c>
    </row>
    <row r="456">
      <c r="A456" t="inlineStr">
        <is>
          <t>IMB0052022</t>
        </is>
      </c>
      <c r="B456" t="inlineStr">
        <is>
          <t>Ativos de Óleo e Gás - Peregrino</t>
        </is>
      </c>
      <c r="C456" t="inlineStr">
        <is>
          <t>Prio Tigris</t>
        </is>
      </c>
      <c r="D456" t="inlineStr">
        <is>
          <t>Peregrino</t>
        </is>
      </c>
      <c r="E456" t="inlineStr">
        <is>
          <t>Poço produtor - perfuração</t>
        </is>
      </c>
      <c r="F456" t="inlineStr">
        <is>
          <t>Amostral</t>
        </is>
      </c>
      <c r="G456" s="8" t="n">
        <v>501922.21</v>
      </c>
      <c r="H456" s="8" t="n">
        <v>501922.21</v>
      </c>
      <c r="I456" s="8">
        <f>G456-H456</f>
        <v/>
      </c>
      <c r="J456" s="11">
        <f>IF(G456=0,0,MIN(1,I456/G456))</f>
        <v/>
      </c>
    </row>
    <row r="457">
      <c r="A457" t="inlineStr">
        <is>
          <t>IMB0052099</t>
        </is>
      </c>
      <c r="B457" t="inlineStr">
        <is>
          <t>Ativos de Óleo e Gás - Peregrino</t>
        </is>
      </c>
      <c r="C457" t="inlineStr">
        <is>
          <t>Prio Tigris</t>
        </is>
      </c>
      <c r="D457" t="inlineStr">
        <is>
          <t>Peregrino</t>
        </is>
      </c>
      <c r="E457" t="inlineStr">
        <is>
          <t>Custo de abandono capitalizado (ARO)</t>
        </is>
      </c>
      <c r="F457" t="inlineStr">
        <is>
          <t>Amostral</t>
        </is>
      </c>
      <c r="G457" s="8" t="n">
        <v>1674146.1</v>
      </c>
      <c r="H457" s="8" t="n">
        <v>1674146.1</v>
      </c>
      <c r="I457" s="8">
        <f>G457-H457</f>
        <v/>
      </c>
      <c r="J457" s="11">
        <f>IF(G457=0,0,MIN(1,I457/G457))</f>
        <v/>
      </c>
    </row>
    <row r="458">
      <c r="A458" t="inlineStr">
        <is>
          <t>IMB0052149</t>
        </is>
      </c>
      <c r="B458" t="inlineStr">
        <is>
          <t>Ativos de Óleo e Gás - Peregrino</t>
        </is>
      </c>
      <c r="C458" t="inlineStr">
        <is>
          <t>Prio Tigris</t>
        </is>
      </c>
      <c r="D458" t="inlineStr">
        <is>
          <t>Peregrino</t>
        </is>
      </c>
      <c r="E458" t="inlineStr">
        <is>
          <t>Equipamento de controle submarino (SCM)</t>
        </is>
      </c>
      <c r="F458" t="inlineStr">
        <is>
          <t>Amostral</t>
        </is>
      </c>
      <c r="G458" s="8" t="n">
        <v>1202121.42</v>
      </c>
      <c r="H458" s="8" t="n">
        <v>1202121.42</v>
      </c>
      <c r="I458" s="8">
        <f>G458-H458</f>
        <v/>
      </c>
      <c r="J458" s="11">
        <f>IF(G458=0,0,MIN(1,I458/G458))</f>
        <v/>
      </c>
    </row>
    <row r="459">
      <c r="A459" t="inlineStr">
        <is>
          <t>IMB0052229</t>
        </is>
      </c>
      <c r="B459" t="inlineStr">
        <is>
          <t>Ativos de Óleo e Gás - Peregrino</t>
        </is>
      </c>
      <c r="C459" t="inlineStr">
        <is>
          <t>Prio Tigris</t>
        </is>
      </c>
      <c r="D459" t="inlineStr">
        <is>
          <t>Peregrino</t>
        </is>
      </c>
      <c r="E459" t="inlineStr">
        <is>
          <t>Árvore de natal molhada (ANM)</t>
        </is>
      </c>
      <c r="F459" t="inlineStr">
        <is>
          <t>Amostral</t>
        </is>
      </c>
      <c r="G459" s="8" t="n">
        <v>953076.83</v>
      </c>
      <c r="H459" s="8" t="n">
        <v>953076.83</v>
      </c>
      <c r="I459" s="8">
        <f>G459-H459</f>
        <v/>
      </c>
      <c r="J459" s="11">
        <f>IF(G459=0,0,MIN(1,I459/G459))</f>
        <v/>
      </c>
    </row>
    <row r="460">
      <c r="A460" t="inlineStr">
        <is>
          <t>IMB0052311</t>
        </is>
      </c>
      <c r="B460" t="inlineStr">
        <is>
          <t>Ativos de Óleo e Gás - Peregrino</t>
        </is>
      </c>
      <c r="C460" t="inlineStr">
        <is>
          <t>Prio Tigris</t>
        </is>
      </c>
      <c r="D460" t="inlineStr">
        <is>
          <t>Peregrino</t>
        </is>
      </c>
      <c r="E460" t="inlineStr">
        <is>
          <t>Bomba centrífuga submersa (BCS)</t>
        </is>
      </c>
      <c r="F460" t="inlineStr">
        <is>
          <t>Amostral</t>
        </is>
      </c>
      <c r="G460" s="8" t="n">
        <v>111455.18</v>
      </c>
      <c r="H460" s="8" t="n">
        <v>111455.18</v>
      </c>
      <c r="I460" s="8">
        <f>G460-H460</f>
        <v/>
      </c>
      <c r="J460" s="11">
        <f>IF(G460=0,0,MIN(1,I460/G460))</f>
        <v/>
      </c>
    </row>
    <row r="461">
      <c r="A461" t="inlineStr">
        <is>
          <t>IMB0052385</t>
        </is>
      </c>
      <c r="B461" t="inlineStr">
        <is>
          <t>Ativos de Óleo e Gás - Peregrino</t>
        </is>
      </c>
      <c r="C461" t="inlineStr">
        <is>
          <t>Prio Tigris</t>
        </is>
      </c>
      <c r="D461" t="inlineStr">
        <is>
          <t>Peregrino</t>
        </is>
      </c>
      <c r="E461" t="inlineStr">
        <is>
          <t>Riser flexível</t>
        </is>
      </c>
      <c r="F461" t="inlineStr">
        <is>
          <t>Amostral</t>
        </is>
      </c>
      <c r="G461" s="8" t="n">
        <v>683388.3100000001</v>
      </c>
      <c r="H461" s="8" t="n">
        <v>683388.3100000001</v>
      </c>
      <c r="I461" s="8">
        <f>G461-H461</f>
        <v/>
      </c>
      <c r="J461" s="11">
        <f>IF(G461=0,0,MIN(1,I461/G461))</f>
        <v/>
      </c>
    </row>
    <row r="462">
      <c r="A462" t="inlineStr">
        <is>
          <t>IMB0052478</t>
        </is>
      </c>
      <c r="B462" t="inlineStr">
        <is>
          <t>Ativos de Óleo e Gás - Peregrino</t>
        </is>
      </c>
      <c r="C462" t="inlineStr">
        <is>
          <t>Prio Tigris</t>
        </is>
      </c>
      <c r="D462" t="inlineStr">
        <is>
          <t>Peregrino</t>
        </is>
      </c>
      <c r="E462" t="inlineStr">
        <is>
          <t>Custo de abandono capitalizado (ARO)</t>
        </is>
      </c>
      <c r="F462" t="inlineStr">
        <is>
          <t>Amostral</t>
        </is>
      </c>
      <c r="G462" s="8" t="n">
        <v>425889.42</v>
      </c>
      <c r="H462" s="8" t="n">
        <v>425889.42</v>
      </c>
      <c r="I462" s="8">
        <f>G462-H462</f>
        <v/>
      </c>
      <c r="J462" s="11">
        <f>IF(G462=0,0,MIN(1,I462/G462))</f>
        <v/>
      </c>
    </row>
    <row r="463">
      <c r="A463" t="inlineStr">
        <is>
          <t>IMB0052546</t>
        </is>
      </c>
      <c r="B463" t="inlineStr">
        <is>
          <t>Ativos de Óleo e Gás - Peregrino</t>
        </is>
      </c>
      <c r="C463" t="inlineStr">
        <is>
          <t>Prio Tigris</t>
        </is>
      </c>
      <c r="D463" t="inlineStr">
        <is>
          <t>Peregrino</t>
        </is>
      </c>
      <c r="E463" t="inlineStr">
        <is>
          <t>Umbilical eletro-hidráulico</t>
        </is>
      </c>
      <c r="F463" t="inlineStr">
        <is>
          <t>Amostral</t>
        </is>
      </c>
      <c r="G463" s="8" t="n">
        <v>1064435.29</v>
      </c>
      <c r="H463" s="8" t="n">
        <v>1064435.29</v>
      </c>
      <c r="I463" s="8">
        <f>G463-H463</f>
        <v/>
      </c>
      <c r="J463" s="11">
        <f>IF(G463=0,0,MIN(1,I463/G463))</f>
        <v/>
      </c>
    </row>
    <row r="464">
      <c r="A464" t="inlineStr">
        <is>
          <t>IMB0052620</t>
        </is>
      </c>
      <c r="B464" t="inlineStr">
        <is>
          <t>Ativos de Óleo e Gás - Peregrino</t>
        </is>
      </c>
      <c r="C464" t="inlineStr">
        <is>
          <t>Prio Tigris</t>
        </is>
      </c>
      <c r="D464" t="inlineStr">
        <is>
          <t>Peregrino</t>
        </is>
      </c>
      <c r="E464" t="inlineStr">
        <is>
          <t>Riser flexível</t>
        </is>
      </c>
      <c r="F464" t="inlineStr">
        <is>
          <t>Amostral</t>
        </is>
      </c>
      <c r="G464" s="8" t="n">
        <v>325028.21</v>
      </c>
      <c r="H464" s="8" t="n">
        <v>325028.21</v>
      </c>
      <c r="I464" s="8">
        <f>G464-H464</f>
        <v/>
      </c>
      <c r="J464" s="11">
        <f>IF(G464=0,0,MIN(1,I464/G464))</f>
        <v/>
      </c>
    </row>
    <row r="465">
      <c r="A465" t="inlineStr">
        <is>
          <t>IMB0052715</t>
        </is>
      </c>
      <c r="B465" t="inlineStr">
        <is>
          <t>Ativos de Óleo e Gás - Peregrino</t>
        </is>
      </c>
      <c r="C465" t="inlineStr">
        <is>
          <t>Prio Tigris</t>
        </is>
      </c>
      <c r="D465" t="inlineStr">
        <is>
          <t>Peregrino</t>
        </is>
      </c>
      <c r="E465" t="inlineStr">
        <is>
          <t>Bomba centrífuga submersa (BCS)</t>
        </is>
      </c>
      <c r="F465" t="inlineStr">
        <is>
          <t>Amostral</t>
        </is>
      </c>
      <c r="G465" s="8" t="n">
        <v>1503191.45</v>
      </c>
      <c r="H465" s="8" t="n">
        <v>1503191.45</v>
      </c>
      <c r="I465" s="8">
        <f>G465-H465</f>
        <v/>
      </c>
      <c r="J465" s="11">
        <f>IF(G465=0,0,MIN(1,I465/G465))</f>
        <v/>
      </c>
    </row>
    <row r="466">
      <c r="A466" t="inlineStr">
        <is>
          <t>IMB0052794</t>
        </is>
      </c>
      <c r="B466" t="inlineStr">
        <is>
          <t>Ativos de Óleo e Gás - Peregrino</t>
        </is>
      </c>
      <c r="C466" t="inlineStr">
        <is>
          <t>Prio Tigris</t>
        </is>
      </c>
      <c r="D466" t="inlineStr">
        <is>
          <t>Peregrino</t>
        </is>
      </c>
      <c r="E466" t="inlineStr">
        <is>
          <t>Custo de abandono capitalizado (ARO)</t>
        </is>
      </c>
      <c r="F466" t="inlineStr">
        <is>
          <t>Amostral</t>
        </is>
      </c>
      <c r="G466" s="8" t="n">
        <v>2371887.47</v>
      </c>
      <c r="H466" s="8" t="n">
        <v>2371887.47</v>
      </c>
      <c r="I466" s="8">
        <f>G466-H466</f>
        <v/>
      </c>
      <c r="J466" s="11">
        <f>IF(G466=0,0,MIN(1,I466/G466))</f>
        <v/>
      </c>
    </row>
    <row r="467">
      <c r="A467" t="inlineStr">
        <is>
          <t>IMB0052842</t>
        </is>
      </c>
      <c r="B467" t="inlineStr">
        <is>
          <t>Ativos de Óleo e Gás - Peregrino</t>
        </is>
      </c>
      <c r="C467" t="inlineStr">
        <is>
          <t>Prio Tigris</t>
        </is>
      </c>
      <c r="D467" t="inlineStr">
        <is>
          <t>Peregrino</t>
        </is>
      </c>
      <c r="E467" t="inlineStr">
        <is>
          <t>Custo de abandono capitalizado (ARO)</t>
        </is>
      </c>
      <c r="F467" t="inlineStr">
        <is>
          <t>Amostral</t>
        </is>
      </c>
      <c r="G467" s="8" t="n">
        <v>661181.37</v>
      </c>
      <c r="H467" s="8" t="n">
        <v>661181.37</v>
      </c>
      <c r="I467" s="8">
        <f>G467-H467</f>
        <v/>
      </c>
      <c r="J467" s="11">
        <f>IF(G467=0,0,MIN(1,I467/G467))</f>
        <v/>
      </c>
    </row>
    <row r="468">
      <c r="A468" t="inlineStr">
        <is>
          <t>IMB0052911</t>
        </is>
      </c>
      <c r="B468" t="inlineStr">
        <is>
          <t>Ativos de Óleo e Gás - Peregrino</t>
        </is>
      </c>
      <c r="C468" t="inlineStr">
        <is>
          <t>Prio Tigris</t>
        </is>
      </c>
      <c r="D468" t="inlineStr">
        <is>
          <t>Peregrino</t>
        </is>
      </c>
      <c r="E468" t="inlineStr">
        <is>
          <t>Duto de exportação de gás</t>
        </is>
      </c>
      <c r="F468" t="inlineStr">
        <is>
          <t>Amostral</t>
        </is>
      </c>
      <c r="G468" s="8" t="n">
        <v>832634.29</v>
      </c>
      <c r="H468" s="8" t="n">
        <v>832634.29</v>
      </c>
      <c r="I468" s="8">
        <f>G468-H468</f>
        <v/>
      </c>
      <c r="J468" s="11">
        <f>IF(G468=0,0,MIN(1,I468/G468))</f>
        <v/>
      </c>
    </row>
    <row r="469">
      <c r="A469" t="inlineStr">
        <is>
          <t>IMB0052980</t>
        </is>
      </c>
      <c r="B469" t="inlineStr">
        <is>
          <t>Ativos de Óleo e Gás - Peregrino</t>
        </is>
      </c>
      <c r="C469" t="inlineStr">
        <is>
          <t>Prio Tigris</t>
        </is>
      </c>
      <c r="D469" t="inlineStr">
        <is>
          <t>Peregrino</t>
        </is>
      </c>
      <c r="E469" t="inlineStr">
        <is>
          <t>Equipamento de controle submarino (SCM)</t>
        </is>
      </c>
      <c r="F469" t="inlineStr">
        <is>
          <t>Amostral</t>
        </is>
      </c>
      <c r="G469" s="8" t="n">
        <v>445573.17</v>
      </c>
      <c r="H469" s="8" t="n">
        <v>445573.17</v>
      </c>
      <c r="I469" s="8">
        <f>G469-H469</f>
        <v/>
      </c>
      <c r="J469" s="11">
        <f>IF(G469=0,0,MIN(1,I469/G469))</f>
        <v/>
      </c>
    </row>
    <row r="470">
      <c r="A470" t="inlineStr">
        <is>
          <t>IMB0053037</t>
        </is>
      </c>
      <c r="B470" t="inlineStr">
        <is>
          <t>Ativos de Óleo e Gás - Peregrino</t>
        </is>
      </c>
      <c r="C470" t="inlineStr">
        <is>
          <t>Prio Tigris</t>
        </is>
      </c>
      <c r="D470" t="inlineStr">
        <is>
          <t>Peregrino</t>
        </is>
      </c>
      <c r="E470" t="inlineStr">
        <is>
          <t>Equipamento de controle submarino (SCM)</t>
        </is>
      </c>
      <c r="F470" t="inlineStr">
        <is>
          <t>Amostral</t>
        </is>
      </c>
      <c r="G470" s="8" t="n">
        <v>1065755.03</v>
      </c>
      <c r="H470" s="8" t="n">
        <v>1065755.03</v>
      </c>
      <c r="I470" s="8">
        <f>G470-H470</f>
        <v/>
      </c>
      <c r="J470" s="11">
        <f>IF(G470=0,0,MIN(1,I470/G470))</f>
        <v/>
      </c>
    </row>
    <row r="471">
      <c r="A471" t="inlineStr">
        <is>
          <t>IMB0053118</t>
        </is>
      </c>
      <c r="B471" t="inlineStr">
        <is>
          <t>Ativos de Óleo e Gás - Peregrino</t>
        </is>
      </c>
      <c r="C471" t="inlineStr">
        <is>
          <t>Prio Tigris</t>
        </is>
      </c>
      <c r="D471" t="inlineStr">
        <is>
          <t>Peregrino</t>
        </is>
      </c>
      <c r="E471" t="inlineStr">
        <is>
          <t>Bomba centrífuga submersa (BCS)</t>
        </is>
      </c>
      <c r="F471" t="inlineStr">
        <is>
          <t>Amostral</t>
        </is>
      </c>
      <c r="G471" s="8" t="n">
        <v>359277.03</v>
      </c>
      <c r="H471" s="8" t="n">
        <v>359277.03</v>
      </c>
      <c r="I471" s="8">
        <f>G471-H471</f>
        <v/>
      </c>
      <c r="J471" s="11">
        <f>IF(G471=0,0,MIN(1,I471/G471))</f>
        <v/>
      </c>
    </row>
    <row r="472">
      <c r="A472" t="inlineStr">
        <is>
          <t>IMB0053236</t>
        </is>
      </c>
      <c r="B472" t="inlineStr">
        <is>
          <t>Ativos de Óleo e Gás - Peregrino</t>
        </is>
      </c>
      <c r="C472" t="inlineStr">
        <is>
          <t>Prio Tigris</t>
        </is>
      </c>
      <c r="D472" t="inlineStr">
        <is>
          <t>Peregrino</t>
        </is>
      </c>
      <c r="E472" t="inlineStr">
        <is>
          <t>Riser flexível</t>
        </is>
      </c>
      <c r="F472" t="inlineStr">
        <is>
          <t>Amostral</t>
        </is>
      </c>
      <c r="G472" s="8" t="n">
        <v>2036186.05</v>
      </c>
      <c r="H472" s="8" t="n">
        <v>2036186.05</v>
      </c>
      <c r="I472" s="8">
        <f>G472-H472</f>
        <v/>
      </c>
      <c r="J472" s="11">
        <f>IF(G472=0,0,MIN(1,I472/G472))</f>
        <v/>
      </c>
    </row>
    <row r="473">
      <c r="A473" t="inlineStr">
        <is>
          <t>IMB0053320</t>
        </is>
      </c>
      <c r="B473" t="inlineStr">
        <is>
          <t>Ativos de Óleo e Gás - Peregrino</t>
        </is>
      </c>
      <c r="C473" t="inlineStr">
        <is>
          <t>Prio Tigris</t>
        </is>
      </c>
      <c r="D473" t="inlineStr">
        <is>
          <t>Peregrino</t>
        </is>
      </c>
      <c r="E473" t="inlineStr">
        <is>
          <t>Bomba centrífuga submersa (BCS)</t>
        </is>
      </c>
      <c r="F473" t="inlineStr">
        <is>
          <t>Amostral</t>
        </is>
      </c>
      <c r="G473" s="8" t="n">
        <v>346527.26</v>
      </c>
      <c r="H473" s="8" t="n">
        <v>346527.26</v>
      </c>
      <c r="I473" s="8">
        <f>G473-H473</f>
        <v/>
      </c>
      <c r="J473" s="11">
        <f>IF(G473=0,0,MIN(1,I473/G473))</f>
        <v/>
      </c>
    </row>
    <row r="474">
      <c r="A474" t="inlineStr">
        <is>
          <t>IMB0053386</t>
        </is>
      </c>
      <c r="B474" t="inlineStr">
        <is>
          <t>Ativos de Óleo e Gás - Peregrino</t>
        </is>
      </c>
      <c r="C474" t="inlineStr">
        <is>
          <t>Prio Tigris</t>
        </is>
      </c>
      <c r="D474" t="inlineStr">
        <is>
          <t>Peregrino</t>
        </is>
      </c>
      <c r="E474" t="inlineStr">
        <is>
          <t>Equipamento de controle submarino (SCM)</t>
        </is>
      </c>
      <c r="F474" t="inlineStr">
        <is>
          <t>Amostral</t>
        </is>
      </c>
      <c r="G474" s="8" t="n">
        <v>4660662.36</v>
      </c>
      <c r="H474" s="8" t="n">
        <v>4660662.36</v>
      </c>
      <c r="I474" s="8">
        <f>G474-H474</f>
        <v/>
      </c>
      <c r="J474" s="11">
        <f>IF(G474=0,0,MIN(1,I474/G474))</f>
        <v/>
      </c>
    </row>
    <row r="475">
      <c r="A475" t="inlineStr">
        <is>
          <t>IMB0053409</t>
        </is>
      </c>
      <c r="B475" t="inlineStr">
        <is>
          <t>Ativos de Óleo e Gás - Peregrino</t>
        </is>
      </c>
      <c r="C475" t="inlineStr">
        <is>
          <t>Prio Tigris</t>
        </is>
      </c>
      <c r="D475" t="inlineStr">
        <is>
          <t>Peregrino</t>
        </is>
      </c>
      <c r="E475" t="inlineStr">
        <is>
          <t>Custo de abandono capitalizado (ARO)</t>
        </is>
      </c>
      <c r="F475" t="inlineStr">
        <is>
          <t>Amostral</t>
        </is>
      </c>
      <c r="G475" s="8" t="n">
        <v>3117813.2</v>
      </c>
      <c r="H475" s="8" t="n">
        <v>3117813.2</v>
      </c>
      <c r="I475" s="8">
        <f>G475-H475</f>
        <v/>
      </c>
      <c r="J475" s="11">
        <f>IF(G475=0,0,MIN(1,I475/G475))</f>
        <v/>
      </c>
    </row>
    <row r="476">
      <c r="A476" t="inlineStr">
        <is>
          <t>IMB0053518</t>
        </is>
      </c>
      <c r="B476" t="inlineStr">
        <is>
          <t>Ativos de Óleo e Gás - Peregrino</t>
        </is>
      </c>
      <c r="C476" t="inlineStr">
        <is>
          <t>Prio Tigris</t>
        </is>
      </c>
      <c r="D476" t="inlineStr">
        <is>
          <t>Peregrino</t>
        </is>
      </c>
      <c r="E476" t="inlineStr">
        <is>
          <t>Poço injetor - perfuração</t>
        </is>
      </c>
      <c r="F476" t="inlineStr">
        <is>
          <t>Amostral</t>
        </is>
      </c>
      <c r="G476" s="8" t="n">
        <v>1363061.43</v>
      </c>
      <c r="H476" s="8" t="n">
        <v>1363061.43</v>
      </c>
      <c r="I476" s="8">
        <f>G476-H476</f>
        <v/>
      </c>
      <c r="J476" s="11">
        <f>IF(G476=0,0,MIN(1,I476/G476))</f>
        <v/>
      </c>
    </row>
    <row r="477">
      <c r="A477" t="inlineStr">
        <is>
          <t>IMB0053574</t>
        </is>
      </c>
      <c r="B477" t="inlineStr">
        <is>
          <t>Ativos de Óleo e Gás - Peregrino</t>
        </is>
      </c>
      <c r="C477" t="inlineStr">
        <is>
          <t>Prio Tigris</t>
        </is>
      </c>
      <c r="D477" t="inlineStr">
        <is>
          <t>Peregrino</t>
        </is>
      </c>
      <c r="E477" t="inlineStr">
        <is>
          <t>Árvore de natal molhada (ANM)</t>
        </is>
      </c>
      <c r="F477" t="inlineStr">
        <is>
          <t>Amostral</t>
        </is>
      </c>
      <c r="G477" s="8" t="n">
        <v>646806.9300000001</v>
      </c>
      <c r="H477" s="8" t="n">
        <v>646806.9300000001</v>
      </c>
      <c r="I477" s="8">
        <f>G477-H477</f>
        <v/>
      </c>
      <c r="J477" s="11">
        <f>IF(G477=0,0,MIN(1,I477/G477))</f>
        <v/>
      </c>
    </row>
    <row r="478">
      <c r="A478" t="inlineStr">
        <is>
          <t>IMB0053697</t>
        </is>
      </c>
      <c r="B478" t="inlineStr">
        <is>
          <t>Ativos de Óleo e Gás - Peregrino</t>
        </is>
      </c>
      <c r="C478" t="inlineStr">
        <is>
          <t>Prio Tigris</t>
        </is>
      </c>
      <c r="D478" t="inlineStr">
        <is>
          <t>Peregrino</t>
        </is>
      </c>
      <c r="E478" t="inlineStr">
        <is>
          <t>Equipamento de controle submarino (SCM)</t>
        </is>
      </c>
      <c r="F478" t="inlineStr">
        <is>
          <t>Amostral</t>
        </is>
      </c>
      <c r="G478" s="8" t="n">
        <v>490594.11</v>
      </c>
      <c r="H478" s="8" t="n">
        <v>490594.11</v>
      </c>
      <c r="I478" s="8">
        <f>G478-H478</f>
        <v/>
      </c>
      <c r="J478" s="11">
        <f>IF(G478=0,0,MIN(1,I478/G478))</f>
        <v/>
      </c>
    </row>
    <row r="479">
      <c r="A479" t="inlineStr">
        <is>
          <t>IMB0053780</t>
        </is>
      </c>
      <c r="B479" t="inlineStr">
        <is>
          <t>Ativos de Óleo e Gás - Peregrino</t>
        </is>
      </c>
      <c r="C479" t="inlineStr">
        <is>
          <t>Prio Tigris</t>
        </is>
      </c>
      <c r="D479" t="inlineStr">
        <is>
          <t>Peregrino</t>
        </is>
      </c>
      <c r="E479" t="inlineStr">
        <is>
          <t>Jumper submarino</t>
        </is>
      </c>
      <c r="F479" t="inlineStr">
        <is>
          <t>Amostral</t>
        </is>
      </c>
      <c r="G479" s="8" t="n">
        <v>8285152.89</v>
      </c>
      <c r="H479" s="8" t="n">
        <v>8285152.89</v>
      </c>
      <c r="I479" s="8">
        <f>G479-H479</f>
        <v/>
      </c>
      <c r="J479" s="11">
        <f>IF(G479=0,0,MIN(1,I479/G479))</f>
        <v/>
      </c>
    </row>
    <row r="480">
      <c r="A480" t="inlineStr">
        <is>
          <t>IMB0053825</t>
        </is>
      </c>
      <c r="B480" t="inlineStr">
        <is>
          <t>Ativos de Óleo e Gás - Peregrino</t>
        </is>
      </c>
      <c r="C480" t="inlineStr">
        <is>
          <t>Prio Tigris</t>
        </is>
      </c>
      <c r="D480" t="inlineStr">
        <is>
          <t>Peregrino</t>
        </is>
      </c>
      <c r="E480" t="inlineStr">
        <is>
          <t>Umbilical eletro-hidráulico</t>
        </is>
      </c>
      <c r="F480" t="inlineStr">
        <is>
          <t>Amostral</t>
        </is>
      </c>
      <c r="G480" s="8" t="n">
        <v>320006.08</v>
      </c>
      <c r="H480" s="8" t="n">
        <v>320006.08</v>
      </c>
      <c r="I480" s="8">
        <f>G480-H480</f>
        <v/>
      </c>
      <c r="J480" s="11">
        <f>IF(G480=0,0,MIN(1,I480/G480))</f>
        <v/>
      </c>
    </row>
    <row r="481">
      <c r="A481" t="inlineStr">
        <is>
          <t>IMB0053895</t>
        </is>
      </c>
      <c r="B481" t="inlineStr">
        <is>
          <t>Ativos de Óleo e Gás - Peregrino</t>
        </is>
      </c>
      <c r="C481" t="inlineStr">
        <is>
          <t>Prio Tigris</t>
        </is>
      </c>
      <c r="D481" t="inlineStr">
        <is>
          <t>Peregrino</t>
        </is>
      </c>
      <c r="E481" t="inlineStr">
        <is>
          <t>Umbilical eletro-hidráulico</t>
        </is>
      </c>
      <c r="F481" t="inlineStr">
        <is>
          <t>Amostral</t>
        </is>
      </c>
      <c r="G481" s="8" t="n">
        <v>602671.24</v>
      </c>
      <c r="H481" s="8" t="n">
        <v>602671.24</v>
      </c>
      <c r="I481" s="8">
        <f>G481-H481</f>
        <v/>
      </c>
      <c r="J481" s="11">
        <f>IF(G481=0,0,MIN(1,I481/G481))</f>
        <v/>
      </c>
    </row>
    <row r="482">
      <c r="A482" t="inlineStr">
        <is>
          <t>IMB0053961</t>
        </is>
      </c>
      <c r="B482" t="inlineStr">
        <is>
          <t>Ativos de Óleo e Gás - Peregrino</t>
        </is>
      </c>
      <c r="C482" t="inlineStr">
        <is>
          <t>Prio Tigris</t>
        </is>
      </c>
      <c r="D482" t="inlineStr">
        <is>
          <t>Peregrino</t>
        </is>
      </c>
      <c r="E482" t="inlineStr">
        <is>
          <t>Jumper submarino</t>
        </is>
      </c>
      <c r="F482" t="inlineStr">
        <is>
          <t>Amostral</t>
        </is>
      </c>
      <c r="G482" s="8" t="n">
        <v>643634.26</v>
      </c>
      <c r="H482" s="8" t="n">
        <v>643634.26</v>
      </c>
      <c r="I482" s="8">
        <f>G482-H482</f>
        <v/>
      </c>
      <c r="J482" s="11">
        <f>IF(G482=0,0,MIN(1,I482/G482))</f>
        <v/>
      </c>
    </row>
    <row r="483">
      <c r="A483" t="inlineStr">
        <is>
          <t>IMB0054007</t>
        </is>
      </c>
      <c r="B483" t="inlineStr">
        <is>
          <t>Ativos de Óleo e Gás - Peregrino</t>
        </is>
      </c>
      <c r="C483" t="inlineStr">
        <is>
          <t>Prio Tigris</t>
        </is>
      </c>
      <c r="D483" t="inlineStr">
        <is>
          <t>Peregrino</t>
        </is>
      </c>
      <c r="E483" t="inlineStr">
        <is>
          <t>Umbilical eletro-hidráulico</t>
        </is>
      </c>
      <c r="F483" t="inlineStr">
        <is>
          <t>Amostral</t>
        </is>
      </c>
      <c r="G483" s="8" t="n">
        <v>184818.16</v>
      </c>
      <c r="H483" s="8" t="n">
        <v>184818.16</v>
      </c>
      <c r="I483" s="8">
        <f>G483-H483</f>
        <v/>
      </c>
      <c r="J483" s="11">
        <f>IF(G483=0,0,MIN(1,I483/G483))</f>
        <v/>
      </c>
    </row>
    <row r="484">
      <c r="A484" t="inlineStr">
        <is>
          <t>IMB0054077</t>
        </is>
      </c>
      <c r="B484" t="inlineStr">
        <is>
          <t>Ativos de Óleo e Gás - Peregrino</t>
        </is>
      </c>
      <c r="C484" t="inlineStr">
        <is>
          <t>Prio Tigris</t>
        </is>
      </c>
      <c r="D484" t="inlineStr">
        <is>
          <t>Peregrino</t>
        </is>
      </c>
      <c r="E484" t="inlineStr">
        <is>
          <t>Árvore de natal molhada (ANM)</t>
        </is>
      </c>
      <c r="F484" t="inlineStr">
        <is>
          <t>Amostral</t>
        </is>
      </c>
      <c r="G484" s="8" t="n">
        <v>12509225.23</v>
      </c>
      <c r="H484" s="8" t="n">
        <v>12509225.23</v>
      </c>
      <c r="I484" s="8">
        <f>G484-H484</f>
        <v/>
      </c>
      <c r="J484" s="11">
        <f>IF(G484=0,0,MIN(1,I484/G484))</f>
        <v/>
      </c>
    </row>
    <row r="485">
      <c r="A485" t="inlineStr">
        <is>
          <t>IMB0054126</t>
        </is>
      </c>
      <c r="B485" t="inlineStr">
        <is>
          <t>Ativos de Óleo e Gás - Peregrino</t>
        </is>
      </c>
      <c r="C485" t="inlineStr">
        <is>
          <t>Prio Tigris</t>
        </is>
      </c>
      <c r="D485" t="inlineStr">
        <is>
          <t>Peregrino</t>
        </is>
      </c>
      <c r="E485" t="inlineStr">
        <is>
          <t>Riser flexível</t>
        </is>
      </c>
      <c r="F485" t="inlineStr">
        <is>
          <t>Amostral</t>
        </is>
      </c>
      <c r="G485" s="8" t="n">
        <v>2579500.84</v>
      </c>
      <c r="H485" s="8" t="n">
        <v>2579500.84</v>
      </c>
      <c r="I485" s="8">
        <f>G485-H485</f>
        <v/>
      </c>
      <c r="J485" s="11">
        <f>IF(G485=0,0,MIN(1,I485/G485))</f>
        <v/>
      </c>
    </row>
    <row r="486">
      <c r="A486" t="inlineStr">
        <is>
          <t>IMB0054223</t>
        </is>
      </c>
      <c r="B486" t="inlineStr">
        <is>
          <t>Ativos de Óleo e Gás - Peregrino</t>
        </is>
      </c>
      <c r="C486" t="inlineStr">
        <is>
          <t>Prio Tigris</t>
        </is>
      </c>
      <c r="D486" t="inlineStr">
        <is>
          <t>Peregrino</t>
        </is>
      </c>
      <c r="E486" t="inlineStr">
        <is>
          <t>Poço produtor - completação</t>
        </is>
      </c>
      <c r="F486" t="inlineStr">
        <is>
          <t>Amostral</t>
        </is>
      </c>
      <c r="G486" s="8" t="n">
        <v>2317677.16</v>
      </c>
      <c r="H486" s="8" t="n">
        <v>2317677.16</v>
      </c>
      <c r="I486" s="8">
        <f>G486-H486</f>
        <v/>
      </c>
      <c r="J486" s="11">
        <f>IF(G486=0,0,MIN(1,I486/G486))</f>
        <v/>
      </c>
    </row>
    <row r="487">
      <c r="A487" t="inlineStr">
        <is>
          <t>IMB0054293</t>
        </is>
      </c>
      <c r="B487" t="inlineStr">
        <is>
          <t>Ativos de Óleo e Gás - Peregrino</t>
        </is>
      </c>
      <c r="C487" t="inlineStr">
        <is>
          <t>Prio Tigris</t>
        </is>
      </c>
      <c r="D487" t="inlineStr">
        <is>
          <t>Peregrino</t>
        </is>
      </c>
      <c r="E487" t="inlineStr">
        <is>
          <t>Jumper submarino</t>
        </is>
      </c>
      <c r="F487" t="inlineStr">
        <is>
          <t>Amostral</t>
        </is>
      </c>
      <c r="G487" s="8" t="n">
        <v>1317530.13</v>
      </c>
      <c r="H487" s="8" t="n">
        <v>1317530.13</v>
      </c>
      <c r="I487" s="8">
        <f>G487-H487</f>
        <v/>
      </c>
      <c r="J487" s="11">
        <f>IF(G487=0,0,MIN(1,I487/G487))</f>
        <v/>
      </c>
    </row>
    <row r="488">
      <c r="A488" t="inlineStr">
        <is>
          <t>IMB0054353</t>
        </is>
      </c>
      <c r="B488" t="inlineStr">
        <is>
          <t>Ativos de Óleo e Gás - Peregrino</t>
        </is>
      </c>
      <c r="C488" t="inlineStr">
        <is>
          <t>Prio Tigris</t>
        </is>
      </c>
      <c r="D488" t="inlineStr">
        <is>
          <t>Peregrino</t>
        </is>
      </c>
      <c r="E488" t="inlineStr">
        <is>
          <t>Duto de exportação de gás</t>
        </is>
      </c>
      <c r="F488" t="inlineStr">
        <is>
          <t>Amostral</t>
        </is>
      </c>
      <c r="G488" s="8" t="n">
        <v>1576211.63</v>
      </c>
      <c r="H488" s="8" t="n">
        <v>1576211.63</v>
      </c>
      <c r="I488" s="8">
        <f>G488-H488</f>
        <v/>
      </c>
      <c r="J488" s="11">
        <f>IF(G488=0,0,MIN(1,I488/G488))</f>
        <v/>
      </c>
    </row>
    <row r="489">
      <c r="A489" t="inlineStr">
        <is>
          <t>IMB0054452</t>
        </is>
      </c>
      <c r="B489" t="inlineStr">
        <is>
          <t>Ativos de Óleo e Gás - Peregrino</t>
        </is>
      </c>
      <c r="C489" t="inlineStr">
        <is>
          <t>Prio Tigris</t>
        </is>
      </c>
      <c r="D489" t="inlineStr">
        <is>
          <t>Peregrino</t>
        </is>
      </c>
      <c r="E489" t="inlineStr">
        <is>
          <t>Jumper submarino</t>
        </is>
      </c>
      <c r="F489" t="inlineStr">
        <is>
          <t>Amostral</t>
        </is>
      </c>
      <c r="G489" s="8" t="n">
        <v>287903.59</v>
      </c>
      <c r="H489" s="8" t="n">
        <v>287903.59</v>
      </c>
      <c r="I489" s="8">
        <f>G489-H489</f>
        <v/>
      </c>
      <c r="J489" s="11">
        <f>IF(G489=0,0,MIN(1,I489/G489))</f>
        <v/>
      </c>
    </row>
    <row r="490">
      <c r="A490" t="inlineStr">
        <is>
          <t>IMB0054534</t>
        </is>
      </c>
      <c r="B490" t="inlineStr">
        <is>
          <t>Ativos de Óleo e Gás - Peregrino</t>
        </is>
      </c>
      <c r="C490" t="inlineStr">
        <is>
          <t>Prio Tigris</t>
        </is>
      </c>
      <c r="D490" t="inlineStr">
        <is>
          <t>Peregrino</t>
        </is>
      </c>
      <c r="E490" t="inlineStr">
        <is>
          <t>Linha flexível de produção</t>
        </is>
      </c>
      <c r="F490" t="inlineStr">
        <is>
          <t>Amostral</t>
        </is>
      </c>
      <c r="G490" s="8" t="n">
        <v>955534.9</v>
      </c>
      <c r="H490" s="8" t="n">
        <v>955534.9</v>
      </c>
      <c r="I490" s="8">
        <f>G490-H490</f>
        <v/>
      </c>
      <c r="J490" s="11">
        <f>IF(G490=0,0,MIN(1,I490/G490))</f>
        <v/>
      </c>
    </row>
    <row r="491">
      <c r="A491" t="inlineStr">
        <is>
          <t>IMB0054608</t>
        </is>
      </c>
      <c r="B491" t="inlineStr">
        <is>
          <t>Ativos de Óleo e Gás - Peregrino</t>
        </is>
      </c>
      <c r="C491" t="inlineStr">
        <is>
          <t>Prio Tigris</t>
        </is>
      </c>
      <c r="D491" t="inlineStr">
        <is>
          <t>Peregrino</t>
        </is>
      </c>
      <c r="E491" t="inlineStr">
        <is>
          <t>Sistema de gas lift</t>
        </is>
      </c>
      <c r="F491" t="inlineStr">
        <is>
          <t>Amostral</t>
        </is>
      </c>
      <c r="G491" s="8" t="n">
        <v>1371617.79</v>
      </c>
      <c r="H491" s="8" t="n">
        <v>1371617.79</v>
      </c>
      <c r="I491" s="8">
        <f>G491-H491</f>
        <v/>
      </c>
      <c r="J491" s="11">
        <f>IF(G491=0,0,MIN(1,I491/G491))</f>
        <v/>
      </c>
    </row>
    <row r="492">
      <c r="A492" t="inlineStr">
        <is>
          <t>IMB0054719</t>
        </is>
      </c>
      <c r="B492" t="inlineStr">
        <is>
          <t>Ativos de Óleo e Gás - Peregrino</t>
        </is>
      </c>
      <c r="C492" t="inlineStr">
        <is>
          <t>Prio Tigris</t>
        </is>
      </c>
      <c r="D492" t="inlineStr">
        <is>
          <t>Peregrino</t>
        </is>
      </c>
      <c r="E492" t="inlineStr">
        <is>
          <t>Custo de abandono capitalizado (ARO)</t>
        </is>
      </c>
      <c r="F492" t="inlineStr">
        <is>
          <t>Amostral</t>
        </is>
      </c>
      <c r="G492" s="8" t="n">
        <v>2516092.99</v>
      </c>
      <c r="H492" s="8" t="n">
        <v>2516092.99</v>
      </c>
      <c r="I492" s="8">
        <f>G492-H492</f>
        <v/>
      </c>
      <c r="J492" s="11">
        <f>IF(G492=0,0,MIN(1,I492/G492))</f>
        <v/>
      </c>
    </row>
    <row r="493">
      <c r="A493" t="inlineStr">
        <is>
          <t>IMB0054774</t>
        </is>
      </c>
      <c r="B493" t="inlineStr">
        <is>
          <t>Ativos de Óleo e Gás - Peregrino</t>
        </is>
      </c>
      <c r="C493" t="inlineStr">
        <is>
          <t>Prio Tigris</t>
        </is>
      </c>
      <c r="D493" t="inlineStr">
        <is>
          <t>Peregrino</t>
        </is>
      </c>
      <c r="E493" t="inlineStr">
        <is>
          <t>Árvore de natal molhada (ANM)</t>
        </is>
      </c>
      <c r="F493" t="inlineStr">
        <is>
          <t>Amostral</t>
        </is>
      </c>
      <c r="G493" s="8" t="n">
        <v>896275.4</v>
      </c>
      <c r="H493" s="8" t="n">
        <v>896275.4</v>
      </c>
      <c r="I493" s="8">
        <f>G493-H493</f>
        <v/>
      </c>
      <c r="J493" s="11">
        <f>IF(G493=0,0,MIN(1,I493/G493))</f>
        <v/>
      </c>
    </row>
    <row r="494">
      <c r="A494" t="inlineStr">
        <is>
          <t>IMB0054854</t>
        </is>
      </c>
      <c r="B494" t="inlineStr">
        <is>
          <t>Ativos de Óleo e Gás - Peregrino</t>
        </is>
      </c>
      <c r="C494" t="inlineStr">
        <is>
          <t>Prio Tigris</t>
        </is>
      </c>
      <c r="D494" t="inlineStr">
        <is>
          <t>Peregrino</t>
        </is>
      </c>
      <c r="E494" t="inlineStr">
        <is>
          <t>Umbilical eletro-hidráulico</t>
        </is>
      </c>
      <c r="F494" t="inlineStr">
        <is>
          <t>Amostral</t>
        </is>
      </c>
      <c r="G494" s="8" t="n">
        <v>6608844.66</v>
      </c>
      <c r="H494" s="8" t="n">
        <v>6608844.66</v>
      </c>
      <c r="I494" s="8">
        <f>G494-H494</f>
        <v/>
      </c>
      <c r="J494" s="11">
        <f>IF(G494=0,0,MIN(1,I494/G494))</f>
        <v/>
      </c>
    </row>
    <row r="495">
      <c r="A495" t="inlineStr">
        <is>
          <t>IMB0054896</t>
        </is>
      </c>
      <c r="B495" t="inlineStr">
        <is>
          <t>Ativos de Óleo e Gás - Peregrino</t>
        </is>
      </c>
      <c r="C495" t="inlineStr">
        <is>
          <t>Prio Tigris</t>
        </is>
      </c>
      <c r="D495" t="inlineStr">
        <is>
          <t>Peregrino</t>
        </is>
      </c>
      <c r="E495" t="inlineStr">
        <is>
          <t>Duto de exportação de gás</t>
        </is>
      </c>
      <c r="F495" t="inlineStr">
        <is>
          <t>Amostral</t>
        </is>
      </c>
      <c r="G495" s="8" t="n">
        <v>12462328.53</v>
      </c>
      <c r="H495" s="8" t="n">
        <v>12462328.53</v>
      </c>
      <c r="I495" s="8">
        <f>G495-H495</f>
        <v/>
      </c>
      <c r="J495" s="11">
        <f>IF(G495=0,0,MIN(1,I495/G495))</f>
        <v/>
      </c>
    </row>
    <row r="496">
      <c r="A496" t="inlineStr">
        <is>
          <t>IMB0055002</t>
        </is>
      </c>
      <c r="B496" t="inlineStr">
        <is>
          <t>Ativos de Óleo e Gás - Peregrino</t>
        </is>
      </c>
      <c r="C496" t="inlineStr">
        <is>
          <t>Prio Tigris</t>
        </is>
      </c>
      <c r="D496" t="inlineStr">
        <is>
          <t>Peregrino</t>
        </is>
      </c>
      <c r="E496" t="inlineStr">
        <is>
          <t>Umbilical eletro-hidráulico</t>
        </is>
      </c>
      <c r="F496" t="inlineStr">
        <is>
          <t>Amostral</t>
        </is>
      </c>
      <c r="G496" s="8" t="n">
        <v>487548.56</v>
      </c>
      <c r="H496" s="8" t="n">
        <v>487548.56</v>
      </c>
      <c r="I496" s="8">
        <f>G496-H496</f>
        <v/>
      </c>
      <c r="J496" s="11">
        <f>IF(G496=0,0,MIN(1,I496/G496))</f>
        <v/>
      </c>
    </row>
    <row r="497">
      <c r="A497" t="inlineStr">
        <is>
          <t>IMB0055084</t>
        </is>
      </c>
      <c r="B497" t="inlineStr">
        <is>
          <t>Ativos de Óleo e Gás - Peregrino</t>
        </is>
      </c>
      <c r="C497" t="inlineStr">
        <is>
          <t>Prio Tigris</t>
        </is>
      </c>
      <c r="D497" t="inlineStr">
        <is>
          <t>Peregrino</t>
        </is>
      </c>
      <c r="E497" t="inlineStr">
        <is>
          <t>Jumper submarino</t>
        </is>
      </c>
      <c r="F497" t="inlineStr">
        <is>
          <t>Amostral</t>
        </is>
      </c>
      <c r="G497" s="8" t="n">
        <v>900790.16</v>
      </c>
      <c r="H497" s="8" t="n">
        <v>900790.16</v>
      </c>
      <c r="I497" s="8">
        <f>G497-H497</f>
        <v/>
      </c>
      <c r="J497" s="11">
        <f>IF(G497=0,0,MIN(1,I497/G497))</f>
        <v/>
      </c>
    </row>
    <row r="498">
      <c r="A498" t="inlineStr">
        <is>
          <t>IMB0055180</t>
        </is>
      </c>
      <c r="B498" t="inlineStr">
        <is>
          <t>Ativos de Óleo e Gás - Peregrino</t>
        </is>
      </c>
      <c r="C498" t="inlineStr">
        <is>
          <t>Prio Tigris</t>
        </is>
      </c>
      <c r="D498" t="inlineStr">
        <is>
          <t>Peregrino</t>
        </is>
      </c>
      <c r="E498" t="inlineStr">
        <is>
          <t>Poço injetor - perfuração</t>
        </is>
      </c>
      <c r="F498" t="inlineStr">
        <is>
          <t>Amostral</t>
        </is>
      </c>
      <c r="G498" s="8" t="n">
        <v>3176800.32</v>
      </c>
      <c r="H498" s="8" t="n">
        <v>3176800.32</v>
      </c>
      <c r="I498" s="8">
        <f>G498-H498</f>
        <v/>
      </c>
      <c r="J498" s="11">
        <f>IF(G498=0,0,MIN(1,I498/G498))</f>
        <v/>
      </c>
    </row>
    <row r="499">
      <c r="A499" t="inlineStr">
        <is>
          <t>IMB0055279</t>
        </is>
      </c>
      <c r="B499" t="inlineStr">
        <is>
          <t>Ativos de Óleo e Gás - Peregrino</t>
        </is>
      </c>
      <c r="C499" t="inlineStr">
        <is>
          <t>Prio Tigris</t>
        </is>
      </c>
      <c r="D499" t="inlineStr">
        <is>
          <t>Peregrino</t>
        </is>
      </c>
      <c r="E499" t="inlineStr">
        <is>
          <t>Manifold submarino</t>
        </is>
      </c>
      <c r="F499" t="inlineStr">
        <is>
          <t>Amostral</t>
        </is>
      </c>
      <c r="G499" s="8" t="n">
        <v>4318289.76</v>
      </c>
      <c r="H499" s="8" t="n">
        <v>4318289.76</v>
      </c>
      <c r="I499" s="8">
        <f>G499-H499</f>
        <v/>
      </c>
      <c r="J499" s="11">
        <f>IF(G499=0,0,MIN(1,I499/G499))</f>
        <v/>
      </c>
    </row>
    <row r="500">
      <c r="A500" t="inlineStr">
        <is>
          <t>IMB0055352</t>
        </is>
      </c>
      <c r="B500" t="inlineStr">
        <is>
          <t>Ativos de Óleo e Gás - Peregrino</t>
        </is>
      </c>
      <c r="C500" t="inlineStr">
        <is>
          <t>Prio Tigris</t>
        </is>
      </c>
      <c r="D500" t="inlineStr">
        <is>
          <t>Peregrino</t>
        </is>
      </c>
      <c r="E500" t="inlineStr">
        <is>
          <t>Poço produtor - perfuração</t>
        </is>
      </c>
      <c r="F500" t="inlineStr">
        <is>
          <t>Amostral</t>
        </is>
      </c>
      <c r="G500" s="8" t="n">
        <v>6303653.88</v>
      </c>
      <c r="H500" s="8" t="n">
        <v>6303653.88</v>
      </c>
      <c r="I500" s="8">
        <f>G500-H500</f>
        <v/>
      </c>
      <c r="J500" s="11">
        <f>IF(G500=0,0,MIN(1,I500/G500))</f>
        <v/>
      </c>
    </row>
    <row r="501">
      <c r="A501" t="inlineStr">
        <is>
          <t>IMB0055448</t>
        </is>
      </c>
      <c r="B501" t="inlineStr">
        <is>
          <t>Ativos de Óleo e Gás - Peregrino</t>
        </is>
      </c>
      <c r="C501" t="inlineStr">
        <is>
          <t>Prio Tigris</t>
        </is>
      </c>
      <c r="D501" t="inlineStr">
        <is>
          <t>Peregrino</t>
        </is>
      </c>
      <c r="E501" t="inlineStr">
        <is>
          <t>Linha flexível de produção</t>
        </is>
      </c>
      <c r="F501" t="inlineStr">
        <is>
          <t>Amostral</t>
        </is>
      </c>
      <c r="G501" s="8" t="n">
        <v>3487590.59</v>
      </c>
      <c r="H501" s="8" t="n">
        <v>3487590.59</v>
      </c>
      <c r="I501" s="8">
        <f>G501-H501</f>
        <v/>
      </c>
      <c r="J501" s="11">
        <f>IF(G501=0,0,MIN(1,I501/G501))</f>
        <v/>
      </c>
    </row>
    <row r="502">
      <c r="A502" t="inlineStr">
        <is>
          <t>IMB0055512</t>
        </is>
      </c>
      <c r="B502" t="inlineStr">
        <is>
          <t>Ativos de Óleo e Gás - Peregrino</t>
        </is>
      </c>
      <c r="C502" t="inlineStr">
        <is>
          <t>Prio Tigris</t>
        </is>
      </c>
      <c r="D502" t="inlineStr">
        <is>
          <t>Peregrino</t>
        </is>
      </c>
      <c r="E502" t="inlineStr">
        <is>
          <t>Umbilical eletro-hidráulico</t>
        </is>
      </c>
      <c r="F502" t="inlineStr">
        <is>
          <t>Amostral</t>
        </is>
      </c>
      <c r="G502" s="8" t="n">
        <v>318918.92</v>
      </c>
      <c r="H502" s="8" t="n">
        <v>318918.92</v>
      </c>
      <c r="I502" s="8">
        <f>G502-H502</f>
        <v/>
      </c>
      <c r="J502" s="11">
        <f>IF(G502=0,0,MIN(1,I502/G502))</f>
        <v/>
      </c>
    </row>
    <row r="503">
      <c r="A503" t="inlineStr">
        <is>
          <t>IMB0055609</t>
        </is>
      </c>
      <c r="B503" t="inlineStr">
        <is>
          <t>Ativos de Óleo e Gás - Peregrino</t>
        </is>
      </c>
      <c r="C503" t="inlineStr">
        <is>
          <t>Prio Tigris</t>
        </is>
      </c>
      <c r="D503" t="inlineStr">
        <is>
          <t>Peregrino</t>
        </is>
      </c>
      <c r="E503" t="inlineStr">
        <is>
          <t>Manifold submarino</t>
        </is>
      </c>
      <c r="F503" t="inlineStr">
        <is>
          <t>Amostral</t>
        </is>
      </c>
      <c r="G503" s="8" t="n">
        <v>2035906.76</v>
      </c>
      <c r="H503" s="8" t="n">
        <v>2035906.76</v>
      </c>
      <c r="I503" s="8">
        <f>G503-H503</f>
        <v/>
      </c>
      <c r="J503" s="11">
        <f>IF(G503=0,0,MIN(1,I503/G503))</f>
        <v/>
      </c>
    </row>
    <row r="504">
      <c r="A504" t="inlineStr">
        <is>
          <t>IMB0055723</t>
        </is>
      </c>
      <c r="B504" t="inlineStr">
        <is>
          <t>Ativos de Óleo e Gás - Peregrino</t>
        </is>
      </c>
      <c r="C504" t="inlineStr">
        <is>
          <t>Prio Tigris</t>
        </is>
      </c>
      <c r="D504" t="inlineStr">
        <is>
          <t>Peregrino</t>
        </is>
      </c>
      <c r="E504" t="inlineStr">
        <is>
          <t>Duto de exportação de gás</t>
        </is>
      </c>
      <c r="F504" t="inlineStr">
        <is>
          <t>Amostral</t>
        </is>
      </c>
      <c r="G504" s="8" t="n">
        <v>911217.79</v>
      </c>
      <c r="H504" s="8" t="n">
        <v>911217.79</v>
      </c>
      <c r="I504" s="8">
        <f>G504-H504</f>
        <v/>
      </c>
      <c r="J504" s="11">
        <f>IF(G504=0,0,MIN(1,I504/G504))</f>
        <v/>
      </c>
    </row>
    <row r="505">
      <c r="A505" t="inlineStr">
        <is>
          <t>IMB0055790</t>
        </is>
      </c>
      <c r="B505" t="inlineStr">
        <is>
          <t>Ativos de Óleo e Gás - Peregrino</t>
        </is>
      </c>
      <c r="C505" t="inlineStr">
        <is>
          <t>Prio Tigris</t>
        </is>
      </c>
      <c r="D505" t="inlineStr">
        <is>
          <t>Peregrino</t>
        </is>
      </c>
      <c r="E505" t="inlineStr">
        <is>
          <t>Umbilical eletro-hidráulico</t>
        </is>
      </c>
      <c r="F505" t="inlineStr">
        <is>
          <t>Amostral</t>
        </is>
      </c>
      <c r="G505" s="8" t="n">
        <v>242290.07</v>
      </c>
      <c r="H505" s="8" t="n">
        <v>242290.07</v>
      </c>
      <c r="I505" s="8">
        <f>G505-H505</f>
        <v/>
      </c>
      <c r="J505" s="11">
        <f>IF(G505=0,0,MIN(1,I505/G505))</f>
        <v/>
      </c>
    </row>
    <row r="506">
      <c r="A506" t="inlineStr">
        <is>
          <t>IMB0055855</t>
        </is>
      </c>
      <c r="B506" t="inlineStr">
        <is>
          <t>Ativos de Óleo e Gás - Peregrino</t>
        </is>
      </c>
      <c r="C506" t="inlineStr">
        <is>
          <t>Prio Tigris</t>
        </is>
      </c>
      <c r="D506" t="inlineStr">
        <is>
          <t>Peregrino</t>
        </is>
      </c>
      <c r="E506" t="inlineStr">
        <is>
          <t>Jumper submarino</t>
        </is>
      </c>
      <c r="F506" t="inlineStr">
        <is>
          <t>Amostral</t>
        </is>
      </c>
      <c r="G506" s="8" t="n">
        <v>16477667.88</v>
      </c>
      <c r="H506" s="8" t="n">
        <v>16477667.88</v>
      </c>
      <c r="I506" s="8">
        <f>G506-H506</f>
        <v/>
      </c>
      <c r="J506" s="11">
        <f>IF(G506=0,0,MIN(1,I506/G506))</f>
        <v/>
      </c>
    </row>
    <row r="507">
      <c r="A507" t="inlineStr">
        <is>
          <t>IMB0055905</t>
        </is>
      </c>
      <c r="B507" t="inlineStr">
        <is>
          <t>Ativos de Óleo e Gás - Peregrino</t>
        </is>
      </c>
      <c r="C507" t="inlineStr">
        <is>
          <t>Prio Tigris</t>
        </is>
      </c>
      <c r="D507" t="inlineStr">
        <is>
          <t>Peregrino</t>
        </is>
      </c>
      <c r="E507" t="inlineStr">
        <is>
          <t>Árvore de natal molhada (ANM)</t>
        </is>
      </c>
      <c r="F507" t="inlineStr">
        <is>
          <t>Amostral</t>
        </is>
      </c>
      <c r="G507" s="8" t="n">
        <v>1313920.94</v>
      </c>
      <c r="H507" s="8" t="n">
        <v>1313920.94</v>
      </c>
      <c r="I507" s="8">
        <f>G507-H507</f>
        <v/>
      </c>
      <c r="J507" s="11">
        <f>IF(G507=0,0,MIN(1,I507/G507))</f>
        <v/>
      </c>
    </row>
    <row r="508">
      <c r="A508" t="inlineStr">
        <is>
          <t>IMB0055981</t>
        </is>
      </c>
      <c r="B508" t="inlineStr">
        <is>
          <t>Ativos de Óleo e Gás - Peregrino</t>
        </is>
      </c>
      <c r="C508" t="inlineStr">
        <is>
          <t>Prio Tigris</t>
        </is>
      </c>
      <c r="D508" t="inlineStr">
        <is>
          <t>Peregrino</t>
        </is>
      </c>
      <c r="E508" t="inlineStr">
        <is>
          <t>Umbilical eletro-hidráulico</t>
        </is>
      </c>
      <c r="F508" t="inlineStr">
        <is>
          <t>Amostral</t>
        </is>
      </c>
      <c r="G508" s="8" t="n">
        <v>3470787.02</v>
      </c>
      <c r="H508" s="8" t="n">
        <v>3470787.02</v>
      </c>
      <c r="I508" s="8">
        <f>G508-H508</f>
        <v/>
      </c>
      <c r="J508" s="11">
        <f>IF(G508=0,0,MIN(1,I508/G508))</f>
        <v/>
      </c>
    </row>
    <row r="509">
      <c r="A509" t="inlineStr">
        <is>
          <t>IMB0056001</t>
        </is>
      </c>
      <c r="B509" t="inlineStr">
        <is>
          <t>Ativos de Óleo e Gás - Peregrino</t>
        </is>
      </c>
      <c r="C509" t="inlineStr">
        <is>
          <t>Prio Tigris</t>
        </is>
      </c>
      <c r="D509" t="inlineStr">
        <is>
          <t>Peregrino</t>
        </is>
      </c>
      <c r="E509" t="inlineStr">
        <is>
          <t>Bomba centrífuga submersa (BCS)</t>
        </is>
      </c>
      <c r="F509" t="inlineStr">
        <is>
          <t>Amostral</t>
        </is>
      </c>
      <c r="G509" s="8" t="n">
        <v>1098164.61</v>
      </c>
      <c r="H509" s="8" t="n">
        <v>1098164.61</v>
      </c>
      <c r="I509" s="8">
        <f>G509-H509</f>
        <v/>
      </c>
      <c r="J509" s="11">
        <f>IF(G509=0,0,MIN(1,I509/G509))</f>
        <v/>
      </c>
    </row>
    <row r="510">
      <c r="A510" t="inlineStr">
        <is>
          <t>IMB0056074</t>
        </is>
      </c>
      <c r="B510" t="inlineStr">
        <is>
          <t>Ativos de Óleo e Gás - Peregrino</t>
        </is>
      </c>
      <c r="C510" t="inlineStr">
        <is>
          <t>Prio Tigris</t>
        </is>
      </c>
      <c r="D510" t="inlineStr">
        <is>
          <t>Peregrino</t>
        </is>
      </c>
      <c r="E510" t="inlineStr">
        <is>
          <t>Jumper submarino</t>
        </is>
      </c>
      <c r="F510" t="inlineStr">
        <is>
          <t>Amostral</t>
        </is>
      </c>
      <c r="G510" s="8" t="n">
        <v>1199230.03</v>
      </c>
      <c r="H510" s="8" t="n">
        <v>1199230.03</v>
      </c>
      <c r="I510" s="8">
        <f>G510-H510</f>
        <v/>
      </c>
      <c r="J510" s="11">
        <f>IF(G510=0,0,MIN(1,I510/G510))</f>
        <v/>
      </c>
    </row>
    <row r="511">
      <c r="A511" t="inlineStr">
        <is>
          <t>IMB0056124</t>
        </is>
      </c>
      <c r="B511" t="inlineStr">
        <is>
          <t>Ativos de Óleo e Gás - Peregrino</t>
        </is>
      </c>
      <c r="C511" t="inlineStr">
        <is>
          <t>Prio Tigris</t>
        </is>
      </c>
      <c r="D511" t="inlineStr">
        <is>
          <t>Peregrino</t>
        </is>
      </c>
      <c r="E511" t="inlineStr">
        <is>
          <t>Linha flexível de produção</t>
        </is>
      </c>
      <c r="F511" t="inlineStr">
        <is>
          <t>Amostral</t>
        </is>
      </c>
      <c r="G511" s="8" t="n">
        <v>5965458.18</v>
      </c>
      <c r="H511" s="8" t="n">
        <v>5965458.18</v>
      </c>
      <c r="I511" s="8">
        <f>G511-H511</f>
        <v/>
      </c>
      <c r="J511" s="11">
        <f>IF(G511=0,0,MIN(1,I511/G511))</f>
        <v/>
      </c>
    </row>
    <row r="512">
      <c r="A512" t="inlineStr">
        <is>
          <t>IMB0056224</t>
        </is>
      </c>
      <c r="B512" t="inlineStr">
        <is>
          <t>Ativos de Óleo e Gás - Peregrino</t>
        </is>
      </c>
      <c r="C512" t="inlineStr">
        <is>
          <t>Prio Tigris</t>
        </is>
      </c>
      <c r="D512" t="inlineStr">
        <is>
          <t>Peregrino</t>
        </is>
      </c>
      <c r="E512" t="inlineStr">
        <is>
          <t>Linha flexível de produção</t>
        </is>
      </c>
      <c r="F512" t="inlineStr">
        <is>
          <t>Amostral</t>
        </is>
      </c>
      <c r="G512" s="8" t="n">
        <v>1190210.61</v>
      </c>
      <c r="H512" s="8" t="n">
        <v>1190210.61</v>
      </c>
      <c r="I512" s="8">
        <f>G512-H512</f>
        <v/>
      </c>
      <c r="J512" s="11">
        <f>IF(G512=0,0,MIN(1,I512/G512))</f>
        <v/>
      </c>
    </row>
    <row r="513">
      <c r="A513" t="inlineStr">
        <is>
          <t>IMB0056261</t>
        </is>
      </c>
      <c r="B513" t="inlineStr">
        <is>
          <t>Ativos de Óleo e Gás - Peregrino</t>
        </is>
      </c>
      <c r="C513" t="inlineStr">
        <is>
          <t>Prio Tigris</t>
        </is>
      </c>
      <c r="D513" t="inlineStr">
        <is>
          <t>Peregrino</t>
        </is>
      </c>
      <c r="E513" t="inlineStr">
        <is>
          <t>Jumper submarino</t>
        </is>
      </c>
      <c r="F513" t="inlineStr">
        <is>
          <t>Topo (&gt;= intervalo)</t>
        </is>
      </c>
      <c r="G513" s="8" t="n">
        <v>28430261.53</v>
      </c>
      <c r="H513" s="8" t="n">
        <v>28430261.53</v>
      </c>
      <c r="I513" s="8">
        <f>G513-H513</f>
        <v/>
      </c>
      <c r="J513" s="11">
        <f>IF(G513=0,0,MIN(1,I513/G513))</f>
        <v/>
      </c>
    </row>
    <row r="514">
      <c r="A514" t="inlineStr">
        <is>
          <t>IMB0056290</t>
        </is>
      </c>
      <c r="B514" t="inlineStr">
        <is>
          <t>Ativos de Óleo e Gás - Peregrino</t>
        </is>
      </c>
      <c r="C514" t="inlineStr">
        <is>
          <t>Prio Tigris</t>
        </is>
      </c>
      <c r="D514" t="inlineStr">
        <is>
          <t>Peregrino</t>
        </is>
      </c>
      <c r="E514" t="inlineStr">
        <is>
          <t>Riser flexível</t>
        </is>
      </c>
      <c r="F514" t="inlineStr">
        <is>
          <t>Amostral</t>
        </is>
      </c>
      <c r="G514" s="8" t="n">
        <v>3878625.21</v>
      </c>
      <c r="H514" s="8" t="n">
        <v>3878625.21</v>
      </c>
      <c r="I514" s="8">
        <f>G514-H514</f>
        <v/>
      </c>
      <c r="J514" s="11">
        <f>IF(G514=0,0,MIN(1,I514/G514))</f>
        <v/>
      </c>
    </row>
    <row r="515">
      <c r="A515" t="inlineStr">
        <is>
          <t>IMB0056368</t>
        </is>
      </c>
      <c r="B515" t="inlineStr">
        <is>
          <t>Ativos de Óleo e Gás - Peregrino</t>
        </is>
      </c>
      <c r="C515" t="inlineStr">
        <is>
          <t>Prio Tigris</t>
        </is>
      </c>
      <c r="D515" t="inlineStr">
        <is>
          <t>Peregrino</t>
        </is>
      </c>
      <c r="E515" t="inlineStr">
        <is>
          <t>Linha flexível de produção</t>
        </is>
      </c>
      <c r="F515" t="inlineStr">
        <is>
          <t>Amostral</t>
        </is>
      </c>
      <c r="G515" s="8" t="n">
        <v>7975173.17</v>
      </c>
      <c r="H515" s="8" t="n">
        <v>7975173.17</v>
      </c>
      <c r="I515" s="8">
        <f>G515-H515</f>
        <v/>
      </c>
      <c r="J515" s="11">
        <f>IF(G515=0,0,MIN(1,I515/G515))</f>
        <v/>
      </c>
    </row>
    <row r="516">
      <c r="A516" t="inlineStr">
        <is>
          <t>IMB0056437</t>
        </is>
      </c>
      <c r="B516" t="inlineStr">
        <is>
          <t>Ativos de Óleo e Gás - Peregrino</t>
        </is>
      </c>
      <c r="C516" t="inlineStr">
        <is>
          <t>Prio Tigris</t>
        </is>
      </c>
      <c r="D516" t="inlineStr">
        <is>
          <t>Peregrino</t>
        </is>
      </c>
      <c r="E516" t="inlineStr">
        <is>
          <t>Poço injetor - perfuração</t>
        </is>
      </c>
      <c r="F516" t="inlineStr">
        <is>
          <t>Amostral</t>
        </is>
      </c>
      <c r="G516" s="8" t="n">
        <v>2841270.97</v>
      </c>
      <c r="H516" s="8" t="n">
        <v>2841270.97</v>
      </c>
      <c r="I516" s="8">
        <f>G516-H516</f>
        <v/>
      </c>
      <c r="J516" s="11">
        <f>IF(G516=0,0,MIN(1,I516/G516))</f>
        <v/>
      </c>
    </row>
    <row r="517">
      <c r="A517" t="inlineStr">
        <is>
          <t>IMB0056491</t>
        </is>
      </c>
      <c r="B517" t="inlineStr">
        <is>
          <t>Ativos de Óleo e Gás - Peregrino</t>
        </is>
      </c>
      <c r="C517" t="inlineStr">
        <is>
          <t>Prio Tigris</t>
        </is>
      </c>
      <c r="D517" t="inlineStr">
        <is>
          <t>Peregrino</t>
        </is>
      </c>
      <c r="E517" t="inlineStr">
        <is>
          <t>Jumper submarino</t>
        </is>
      </c>
      <c r="F517" t="inlineStr">
        <is>
          <t>Amostral</t>
        </is>
      </c>
      <c r="G517" s="8" t="n">
        <v>660020.62</v>
      </c>
      <c r="H517" s="8" t="n">
        <v>660020.62</v>
      </c>
      <c r="I517" s="8">
        <f>G517-H517</f>
        <v/>
      </c>
      <c r="J517" s="11">
        <f>IF(G517=0,0,MIN(1,I517/G517))</f>
        <v/>
      </c>
    </row>
    <row r="518">
      <c r="A518" t="inlineStr">
        <is>
          <t>IMB0056585</t>
        </is>
      </c>
      <c r="B518" t="inlineStr">
        <is>
          <t>Ativos de Óleo e Gás - Peregrino</t>
        </is>
      </c>
      <c r="C518" t="inlineStr">
        <is>
          <t>Prio Tigris</t>
        </is>
      </c>
      <c r="D518" t="inlineStr">
        <is>
          <t>Peregrino</t>
        </is>
      </c>
      <c r="E518" t="inlineStr">
        <is>
          <t>Riser flexível</t>
        </is>
      </c>
      <c r="F518" t="inlineStr">
        <is>
          <t>Amostral</t>
        </is>
      </c>
      <c r="G518" s="8" t="n">
        <v>7458223.16</v>
      </c>
      <c r="H518" s="8" t="n">
        <v>7458223.16</v>
      </c>
      <c r="I518" s="8">
        <f>G518-H518</f>
        <v/>
      </c>
      <c r="J518" s="11">
        <f>IF(G518=0,0,MIN(1,I518/G518))</f>
        <v/>
      </c>
    </row>
    <row r="519">
      <c r="A519" t="inlineStr">
        <is>
          <t>IMB0056675</t>
        </is>
      </c>
      <c r="B519" t="inlineStr">
        <is>
          <t>Ativos de Óleo e Gás - Peregrino</t>
        </is>
      </c>
      <c r="C519" t="inlineStr">
        <is>
          <t>Prio Tigris</t>
        </is>
      </c>
      <c r="D519" t="inlineStr">
        <is>
          <t>Peregrino</t>
        </is>
      </c>
      <c r="E519" t="inlineStr">
        <is>
          <t>Bomba centrífuga submersa (BCS)</t>
        </is>
      </c>
      <c r="F519" t="inlineStr">
        <is>
          <t>Amostral</t>
        </is>
      </c>
      <c r="G519" s="8" t="n">
        <v>815838.9300000001</v>
      </c>
      <c r="H519" s="8" t="n">
        <v>815838.9300000001</v>
      </c>
      <c r="I519" s="8">
        <f>G519-H519</f>
        <v/>
      </c>
      <c r="J519" s="11">
        <f>IF(G519=0,0,MIN(1,I519/G519))</f>
        <v/>
      </c>
    </row>
    <row r="520">
      <c r="A520" t="inlineStr">
        <is>
          <t>IMB0056746</t>
        </is>
      </c>
      <c r="B520" t="inlineStr">
        <is>
          <t>Ativos de Óleo e Gás - Peregrino</t>
        </is>
      </c>
      <c r="C520" t="inlineStr">
        <is>
          <t>Prio Tigris</t>
        </is>
      </c>
      <c r="D520" t="inlineStr">
        <is>
          <t>Peregrino</t>
        </is>
      </c>
      <c r="E520" t="inlineStr">
        <is>
          <t>Linha flexível de produção</t>
        </is>
      </c>
      <c r="F520" t="inlineStr">
        <is>
          <t>Amostral</t>
        </is>
      </c>
      <c r="G520" s="8" t="n">
        <v>7240910.45</v>
      </c>
      <c r="H520" s="8" t="n">
        <v>7240910.45</v>
      </c>
      <c r="I520" s="8">
        <f>G520-H520</f>
        <v/>
      </c>
      <c r="J520" s="11">
        <f>IF(G520=0,0,MIN(1,I520/G520))</f>
        <v/>
      </c>
    </row>
    <row r="521">
      <c r="A521" t="inlineStr">
        <is>
          <t>IMB0056842</t>
        </is>
      </c>
      <c r="B521" t="inlineStr">
        <is>
          <t>Ativos de Óleo e Gás - Peregrino</t>
        </is>
      </c>
      <c r="C521" t="inlineStr">
        <is>
          <t>Prio Tigris</t>
        </is>
      </c>
      <c r="D521" t="inlineStr">
        <is>
          <t>Peregrino</t>
        </is>
      </c>
      <c r="E521" t="inlineStr">
        <is>
          <t>Linha flexível de produção</t>
        </is>
      </c>
      <c r="F521" t="inlineStr">
        <is>
          <t>Amostral</t>
        </is>
      </c>
      <c r="G521" s="8" t="n">
        <v>114957.89</v>
      </c>
      <c r="H521" s="8" t="n">
        <v>114957.89</v>
      </c>
      <c r="I521" s="8">
        <f>G521-H521</f>
        <v/>
      </c>
      <c r="J521" s="11">
        <f>IF(G521=0,0,MIN(1,I521/G521))</f>
        <v/>
      </c>
    </row>
    <row r="522">
      <c r="A522" t="inlineStr">
        <is>
          <t>IMB0056916</t>
        </is>
      </c>
      <c r="B522" t="inlineStr">
        <is>
          <t>Ativos de Óleo e Gás - Peregrino</t>
        </is>
      </c>
      <c r="C522" t="inlineStr">
        <is>
          <t>Prio Tigris</t>
        </is>
      </c>
      <c r="D522" t="inlineStr">
        <is>
          <t>Peregrino</t>
        </is>
      </c>
      <c r="E522" t="inlineStr">
        <is>
          <t>Linha flexível de produção</t>
        </is>
      </c>
      <c r="F522" t="inlineStr">
        <is>
          <t>Amostral</t>
        </is>
      </c>
      <c r="G522" s="8" t="n">
        <v>262555.09</v>
      </c>
      <c r="H522" s="8" t="n">
        <v>262555.09</v>
      </c>
      <c r="I522" s="8">
        <f>G522-H522</f>
        <v/>
      </c>
      <c r="J522" s="11">
        <f>IF(G522=0,0,MIN(1,I522/G522))</f>
        <v/>
      </c>
    </row>
    <row r="523">
      <c r="A523" t="inlineStr">
        <is>
          <t>IMB0057013</t>
        </is>
      </c>
      <c r="B523" t="inlineStr">
        <is>
          <t>Ativos de Óleo e Gás - Peregrino</t>
        </is>
      </c>
      <c r="C523" t="inlineStr">
        <is>
          <t>Prio Tigris</t>
        </is>
      </c>
      <c r="D523" t="inlineStr">
        <is>
          <t>Peregrino</t>
        </is>
      </c>
      <c r="E523" t="inlineStr">
        <is>
          <t>Árvore de natal molhada (ANM)</t>
        </is>
      </c>
      <c r="F523" t="inlineStr">
        <is>
          <t>Amostral</t>
        </is>
      </c>
      <c r="G523" s="8" t="n">
        <v>6874270.6</v>
      </c>
      <c r="H523" s="8" t="n">
        <v>6874270.6</v>
      </c>
      <c r="I523" s="8">
        <f>G523-H523</f>
        <v/>
      </c>
      <c r="J523" s="11">
        <f>IF(G523=0,0,MIN(1,I523/G523))</f>
        <v/>
      </c>
    </row>
    <row r="524">
      <c r="A524" t="inlineStr">
        <is>
          <t>IMB0057071</t>
        </is>
      </c>
      <c r="B524" t="inlineStr">
        <is>
          <t>Ativos de Óleo e Gás - Peregrino</t>
        </is>
      </c>
      <c r="C524" t="inlineStr">
        <is>
          <t>Prio Tigris</t>
        </is>
      </c>
      <c r="D524" t="inlineStr">
        <is>
          <t>Peregrino</t>
        </is>
      </c>
      <c r="E524" t="inlineStr">
        <is>
          <t>Árvore de natal molhada (ANM)</t>
        </is>
      </c>
      <c r="F524" t="inlineStr">
        <is>
          <t>Amostral</t>
        </is>
      </c>
      <c r="G524" s="8" t="n">
        <v>55113.71</v>
      </c>
      <c r="H524" s="8" t="n">
        <v>55113.71</v>
      </c>
      <c r="I524" s="8">
        <f>G524-H524</f>
        <v/>
      </c>
      <c r="J524" s="11">
        <f>IF(G524=0,0,MIN(1,I524/G524))</f>
        <v/>
      </c>
    </row>
    <row r="525">
      <c r="A525" t="inlineStr">
        <is>
          <t>IMB0057153</t>
        </is>
      </c>
      <c r="B525" t="inlineStr">
        <is>
          <t>Ativos de Óleo e Gás - Peregrino</t>
        </is>
      </c>
      <c r="C525" t="inlineStr">
        <is>
          <t>Prio Tigris</t>
        </is>
      </c>
      <c r="D525" t="inlineStr">
        <is>
          <t>Peregrino</t>
        </is>
      </c>
      <c r="E525" t="inlineStr">
        <is>
          <t>Duto de exportação de gás</t>
        </is>
      </c>
      <c r="F525" t="inlineStr">
        <is>
          <t>Amostral</t>
        </is>
      </c>
      <c r="G525" s="8" t="n">
        <v>393706.19</v>
      </c>
      <c r="H525" s="8" t="n">
        <v>393706.19</v>
      </c>
      <c r="I525" s="8">
        <f>G525-H525</f>
        <v/>
      </c>
      <c r="J525" s="11">
        <f>IF(G525=0,0,MIN(1,I525/G525))</f>
        <v/>
      </c>
    </row>
    <row r="526">
      <c r="A526" t="inlineStr">
        <is>
          <t>IMB0057250</t>
        </is>
      </c>
      <c r="B526" t="inlineStr">
        <is>
          <t>Ativos de Óleo e Gás - Peregrino</t>
        </is>
      </c>
      <c r="C526" t="inlineStr">
        <is>
          <t>Prio Tigris</t>
        </is>
      </c>
      <c r="D526" t="inlineStr">
        <is>
          <t>Peregrino</t>
        </is>
      </c>
      <c r="E526" t="inlineStr">
        <is>
          <t>Umbilical eletro-hidráulico</t>
        </is>
      </c>
      <c r="F526" t="inlineStr">
        <is>
          <t>Amostral</t>
        </is>
      </c>
      <c r="G526" s="8" t="n">
        <v>1183400.39</v>
      </c>
      <c r="H526" s="8" t="n">
        <v>1183400.39</v>
      </c>
      <c r="I526" s="8">
        <f>G526-H526</f>
        <v/>
      </c>
      <c r="J526" s="11">
        <f>IF(G526=0,0,MIN(1,I526/G526))</f>
        <v/>
      </c>
    </row>
    <row r="527">
      <c r="A527" t="inlineStr">
        <is>
          <t>IMB0057322</t>
        </is>
      </c>
      <c r="B527" t="inlineStr">
        <is>
          <t>Ativos de Óleo e Gás - Peregrino</t>
        </is>
      </c>
      <c r="C527" t="inlineStr">
        <is>
          <t>Prio Tigris</t>
        </is>
      </c>
      <c r="D527" t="inlineStr">
        <is>
          <t>Peregrino</t>
        </is>
      </c>
      <c r="E527" t="inlineStr">
        <is>
          <t>Jumper submarino</t>
        </is>
      </c>
      <c r="F527" t="inlineStr">
        <is>
          <t>Amostral</t>
        </is>
      </c>
      <c r="G527" s="8" t="n">
        <v>6679012.36</v>
      </c>
      <c r="H527" s="8" t="n">
        <v>6679012.36</v>
      </c>
      <c r="I527" s="8">
        <f>G527-H527</f>
        <v/>
      </c>
      <c r="J527" s="11">
        <f>IF(G527=0,0,MIN(1,I527/G527))</f>
        <v/>
      </c>
    </row>
    <row r="528">
      <c r="A528" t="inlineStr">
        <is>
          <t>IMB0057381</t>
        </is>
      </c>
      <c r="B528" t="inlineStr">
        <is>
          <t>Ativos de Óleo e Gás - Peregrino</t>
        </is>
      </c>
      <c r="C528" t="inlineStr">
        <is>
          <t>Prio Tigris</t>
        </is>
      </c>
      <c r="D528" t="inlineStr">
        <is>
          <t>Peregrino</t>
        </is>
      </c>
      <c r="E528" t="inlineStr">
        <is>
          <t>Poço produtor - completação</t>
        </is>
      </c>
      <c r="F528" t="inlineStr">
        <is>
          <t>Amostral</t>
        </is>
      </c>
      <c r="G528" s="8" t="n">
        <v>7664.6</v>
      </c>
      <c r="H528" s="8" t="n">
        <v>7664.6</v>
      </c>
      <c r="I528" s="8">
        <f>G528-H528</f>
        <v/>
      </c>
      <c r="J528" s="11">
        <f>IF(G528=0,0,MIN(1,I528/G528))</f>
        <v/>
      </c>
    </row>
    <row r="529">
      <c r="A529" t="inlineStr">
        <is>
          <t>IMB0057436</t>
        </is>
      </c>
      <c r="B529" t="inlineStr">
        <is>
          <t>Ativos de Óleo e Gás - Peregrino</t>
        </is>
      </c>
      <c r="C529" t="inlineStr">
        <is>
          <t>Prio Tigris</t>
        </is>
      </c>
      <c r="D529" t="inlineStr">
        <is>
          <t>Peregrino</t>
        </is>
      </c>
      <c r="E529" t="inlineStr">
        <is>
          <t>Manifold submarino</t>
        </is>
      </c>
      <c r="F529" t="inlineStr">
        <is>
          <t>Amostral</t>
        </is>
      </c>
      <c r="G529" s="8" t="n">
        <v>5625825.07</v>
      </c>
      <c r="H529" s="8" t="n">
        <v>5625825.07</v>
      </c>
      <c r="I529" s="8">
        <f>G529-H529</f>
        <v/>
      </c>
      <c r="J529" s="11">
        <f>IF(G529=0,0,MIN(1,I529/G529))</f>
        <v/>
      </c>
    </row>
    <row r="530">
      <c r="A530" t="inlineStr">
        <is>
          <t>IMB0057477</t>
        </is>
      </c>
      <c r="B530" t="inlineStr">
        <is>
          <t>Ativos de Óleo e Gás - Peregrino</t>
        </is>
      </c>
      <c r="C530" t="inlineStr">
        <is>
          <t>Prio Tigris</t>
        </is>
      </c>
      <c r="D530" t="inlineStr">
        <is>
          <t>Peregrino</t>
        </is>
      </c>
      <c r="E530" t="inlineStr">
        <is>
          <t>Poço produtor - perfuração</t>
        </is>
      </c>
      <c r="F530" t="inlineStr">
        <is>
          <t>Amostral</t>
        </is>
      </c>
      <c r="G530" s="8" t="n">
        <v>4911648.9</v>
      </c>
      <c r="H530" s="8" t="n">
        <v>4911648.9</v>
      </c>
      <c r="I530" s="8">
        <f>G530-H530</f>
        <v/>
      </c>
      <c r="J530" s="11">
        <f>IF(G530=0,0,MIN(1,I530/G530))</f>
        <v/>
      </c>
    </row>
    <row r="531">
      <c r="A531" t="inlineStr">
        <is>
          <t>IMB0057532</t>
        </is>
      </c>
      <c r="B531" t="inlineStr">
        <is>
          <t>Ativos de Óleo e Gás - Peregrino</t>
        </is>
      </c>
      <c r="C531" t="inlineStr">
        <is>
          <t>Prio Tigris</t>
        </is>
      </c>
      <c r="D531" t="inlineStr">
        <is>
          <t>Peregrino</t>
        </is>
      </c>
      <c r="E531" t="inlineStr">
        <is>
          <t>Bomba centrífuga submersa (BCS)</t>
        </is>
      </c>
      <c r="F531" t="inlineStr">
        <is>
          <t>Amostral</t>
        </is>
      </c>
      <c r="G531" s="8" t="n">
        <v>407113.06</v>
      </c>
      <c r="H531" s="8" t="n">
        <v>407113.06</v>
      </c>
      <c r="I531" s="8">
        <f>G531-H531</f>
        <v/>
      </c>
      <c r="J531" s="11">
        <f>IF(G531=0,0,MIN(1,I531/G531))</f>
        <v/>
      </c>
    </row>
    <row r="532">
      <c r="A532" t="inlineStr">
        <is>
          <t>IMB0057561</t>
        </is>
      </c>
      <c r="B532" t="inlineStr">
        <is>
          <t>Ativos de Óleo e Gás - Peregrino</t>
        </is>
      </c>
      <c r="C532" t="inlineStr">
        <is>
          <t>Prio Tigris</t>
        </is>
      </c>
      <c r="D532" t="inlineStr">
        <is>
          <t>Peregrino</t>
        </is>
      </c>
      <c r="E532" t="inlineStr">
        <is>
          <t>Árvore de natal molhada (ANM)</t>
        </is>
      </c>
      <c r="F532" t="inlineStr">
        <is>
          <t>Topo (&gt;= intervalo)</t>
        </is>
      </c>
      <c r="G532" s="8" t="n">
        <v>33556732.76</v>
      </c>
      <c r="H532" s="8" t="n">
        <v>33556732.76</v>
      </c>
      <c r="I532" s="8">
        <f>G532-H532</f>
        <v/>
      </c>
      <c r="J532" s="11">
        <f>IF(G532=0,0,MIN(1,I532/G532))</f>
        <v/>
      </c>
    </row>
    <row r="533">
      <c r="A533" t="inlineStr">
        <is>
          <t>IMB0057616</t>
        </is>
      </c>
      <c r="B533" t="inlineStr">
        <is>
          <t>Ativos de Óleo e Gás - Peregrino</t>
        </is>
      </c>
      <c r="C533" t="inlineStr">
        <is>
          <t>Prio Tigris</t>
        </is>
      </c>
      <c r="D533" t="inlineStr">
        <is>
          <t>Peregrino</t>
        </is>
      </c>
      <c r="E533" t="inlineStr">
        <is>
          <t>Poço produtor - completação</t>
        </is>
      </c>
      <c r="F533" t="inlineStr">
        <is>
          <t>Amostral</t>
        </is>
      </c>
      <c r="G533" s="8" t="n">
        <v>579145.29</v>
      </c>
      <c r="H533" s="8" t="n">
        <v>579145.29</v>
      </c>
      <c r="I533" s="8">
        <f>G533-H533</f>
        <v/>
      </c>
      <c r="J533" s="11">
        <f>IF(G533=0,0,MIN(1,I533/G533))</f>
        <v/>
      </c>
    </row>
    <row r="534">
      <c r="A534" t="inlineStr">
        <is>
          <t>IMB0057714</t>
        </is>
      </c>
      <c r="B534" t="inlineStr">
        <is>
          <t>Ativos de Óleo e Gás - Peregrino</t>
        </is>
      </c>
      <c r="C534" t="inlineStr">
        <is>
          <t>Prio Tigris</t>
        </is>
      </c>
      <c r="D534" t="inlineStr">
        <is>
          <t>Peregrino</t>
        </is>
      </c>
      <c r="E534" t="inlineStr">
        <is>
          <t>Manifold submarino</t>
        </is>
      </c>
      <c r="F534" t="inlineStr">
        <is>
          <t>Amostral</t>
        </is>
      </c>
      <c r="G534" s="8" t="n">
        <v>2938728.1</v>
      </c>
      <c r="H534" s="8" t="n">
        <v>2938728.1</v>
      </c>
      <c r="I534" s="8">
        <f>G534-H534</f>
        <v/>
      </c>
      <c r="J534" s="11">
        <f>IF(G534=0,0,MIN(1,I534/G534))</f>
        <v/>
      </c>
    </row>
    <row r="535">
      <c r="A535" t="inlineStr">
        <is>
          <t>IMB0057777</t>
        </is>
      </c>
      <c r="B535" t="inlineStr">
        <is>
          <t>Ativos de Óleo e Gás - Peregrino</t>
        </is>
      </c>
      <c r="C535" t="inlineStr">
        <is>
          <t>Prio Tigris</t>
        </is>
      </c>
      <c r="D535" t="inlineStr">
        <is>
          <t>Peregrino</t>
        </is>
      </c>
      <c r="E535" t="inlineStr">
        <is>
          <t>Umbilical eletro-hidráulico</t>
        </is>
      </c>
      <c r="F535" t="inlineStr">
        <is>
          <t>Amostral</t>
        </is>
      </c>
      <c r="G535" s="8" t="n">
        <v>1039491.09</v>
      </c>
      <c r="H535" s="8" t="n">
        <v>1039491.09</v>
      </c>
      <c r="I535" s="8">
        <f>G535-H535</f>
        <v/>
      </c>
      <c r="J535" s="11">
        <f>IF(G535=0,0,MIN(1,I535/G535))</f>
        <v/>
      </c>
    </row>
    <row r="536">
      <c r="A536" t="inlineStr">
        <is>
          <t>IMB0057840</t>
        </is>
      </c>
      <c r="B536" t="inlineStr">
        <is>
          <t>Ativos de Óleo e Gás - Peregrino</t>
        </is>
      </c>
      <c r="C536" t="inlineStr">
        <is>
          <t>Prio Tigris</t>
        </is>
      </c>
      <c r="D536" t="inlineStr">
        <is>
          <t>Peregrino</t>
        </is>
      </c>
      <c r="E536" t="inlineStr">
        <is>
          <t>Duto de exportação de gás</t>
        </is>
      </c>
      <c r="F536" t="inlineStr">
        <is>
          <t>Amostral</t>
        </is>
      </c>
      <c r="G536" s="8" t="n">
        <v>9406293.039999999</v>
      </c>
      <c r="H536" s="8" t="n">
        <v>9406293.039999999</v>
      </c>
      <c r="I536" s="8">
        <f>G536-H536</f>
        <v/>
      </c>
      <c r="J536" s="11">
        <f>IF(G536=0,0,MIN(1,I536/G536))</f>
        <v/>
      </c>
    </row>
    <row r="537">
      <c r="A537" t="inlineStr">
        <is>
          <t>IMB0057853</t>
        </is>
      </c>
      <c r="B537" t="inlineStr">
        <is>
          <t>Ativos de Óleo e Gás - Peregrino</t>
        </is>
      </c>
      <c r="C537" t="inlineStr">
        <is>
          <t>Prio Tigris</t>
        </is>
      </c>
      <c r="D537" t="inlineStr">
        <is>
          <t>Peregrino</t>
        </is>
      </c>
      <c r="E537" t="inlineStr">
        <is>
          <t>Jumper submarino</t>
        </is>
      </c>
      <c r="F537" t="inlineStr">
        <is>
          <t>Amostral</t>
        </is>
      </c>
      <c r="G537" s="8" t="n">
        <v>10827993.93</v>
      </c>
      <c r="H537" s="8" t="n">
        <v>10827993.93</v>
      </c>
      <c r="I537" s="8">
        <f>G537-H537</f>
        <v/>
      </c>
      <c r="J537" s="11">
        <f>IF(G537=0,0,MIN(1,I537/G537))</f>
        <v/>
      </c>
    </row>
    <row r="538">
      <c r="A538" t="inlineStr">
        <is>
          <t>IMB0057915</t>
        </is>
      </c>
      <c r="B538" t="inlineStr">
        <is>
          <t>Ativos de Óleo e Gás - Peregrino</t>
        </is>
      </c>
      <c r="C538" t="inlineStr">
        <is>
          <t>Prio Tigris</t>
        </is>
      </c>
      <c r="D538" t="inlineStr">
        <is>
          <t>Peregrino</t>
        </is>
      </c>
      <c r="E538" t="inlineStr">
        <is>
          <t>Poço produtor - completação</t>
        </is>
      </c>
      <c r="F538" t="inlineStr">
        <is>
          <t>Amostral</t>
        </is>
      </c>
      <c r="G538" s="8" t="n">
        <v>3154482.85</v>
      </c>
      <c r="H538" s="8" t="n">
        <v>3154482.85</v>
      </c>
      <c r="I538" s="8">
        <f>G538-H538</f>
        <v/>
      </c>
      <c r="J538" s="11">
        <f>IF(G538=0,0,MIN(1,I538/G538))</f>
        <v/>
      </c>
    </row>
    <row r="539">
      <c r="A539" t="inlineStr">
        <is>
          <t>IMB0058022</t>
        </is>
      </c>
      <c r="B539" t="inlineStr">
        <is>
          <t>Ativos de Óleo e Gás - Peregrino</t>
        </is>
      </c>
      <c r="C539" t="inlineStr">
        <is>
          <t>Prio Tigris</t>
        </is>
      </c>
      <c r="D539" t="inlineStr">
        <is>
          <t>Peregrino</t>
        </is>
      </c>
      <c r="E539" t="inlineStr">
        <is>
          <t>Bomba centrífuga submersa (BCS)</t>
        </is>
      </c>
      <c r="F539" t="inlineStr">
        <is>
          <t>Amostral</t>
        </is>
      </c>
      <c r="G539" s="8" t="n">
        <v>1587503.95</v>
      </c>
      <c r="H539" s="8" t="n">
        <v>1587503.95</v>
      </c>
      <c r="I539" s="8">
        <f>G539-H539</f>
        <v/>
      </c>
      <c r="J539" s="11">
        <f>IF(G539=0,0,MIN(1,I539/G539))</f>
        <v/>
      </c>
    </row>
    <row r="540">
      <c r="A540" t="inlineStr">
        <is>
          <t>IMB0058110</t>
        </is>
      </c>
      <c r="B540" t="inlineStr">
        <is>
          <t>Ativos de Óleo e Gás - Peregrino</t>
        </is>
      </c>
      <c r="C540" t="inlineStr">
        <is>
          <t>Prio Tigris</t>
        </is>
      </c>
      <c r="D540" t="inlineStr">
        <is>
          <t>Peregrino</t>
        </is>
      </c>
      <c r="E540" t="inlineStr">
        <is>
          <t>Riser flexível</t>
        </is>
      </c>
      <c r="F540" t="inlineStr">
        <is>
          <t>Amostral</t>
        </is>
      </c>
      <c r="G540" s="8" t="n">
        <v>405762.7</v>
      </c>
      <c r="H540" s="8" t="n">
        <v>405762.7</v>
      </c>
      <c r="I540" s="8">
        <f>G540-H540</f>
        <v/>
      </c>
      <c r="J540" s="11">
        <f>IF(G540=0,0,MIN(1,I540/G540))</f>
        <v/>
      </c>
    </row>
    <row r="541">
      <c r="A541" t="inlineStr">
        <is>
          <t>IMB0058208</t>
        </is>
      </c>
      <c r="B541" t="inlineStr">
        <is>
          <t>Ativos de Óleo e Gás - Peregrino</t>
        </is>
      </c>
      <c r="C541" t="inlineStr">
        <is>
          <t>Prio Tigris</t>
        </is>
      </c>
      <c r="D541" t="inlineStr">
        <is>
          <t>Peregrino</t>
        </is>
      </c>
      <c r="E541" t="inlineStr">
        <is>
          <t>Poço injetor - perfuração</t>
        </is>
      </c>
      <c r="F541" t="inlineStr">
        <is>
          <t>Amostral</t>
        </is>
      </c>
      <c r="G541" s="8" t="n">
        <v>275772.73</v>
      </c>
      <c r="H541" s="8" t="n">
        <v>275772.73</v>
      </c>
      <c r="I541" s="8">
        <f>G541-H541</f>
        <v/>
      </c>
      <c r="J541" s="11">
        <f>IF(G541=0,0,MIN(1,I541/G541))</f>
        <v/>
      </c>
    </row>
    <row r="542">
      <c r="A542" t="inlineStr">
        <is>
          <t>IMB0058274</t>
        </is>
      </c>
      <c r="B542" t="inlineStr">
        <is>
          <t>Ativos de Óleo e Gás - Peregrino</t>
        </is>
      </c>
      <c r="C542" t="inlineStr">
        <is>
          <t>Prio Tigris</t>
        </is>
      </c>
      <c r="D542" t="inlineStr">
        <is>
          <t>Peregrino</t>
        </is>
      </c>
      <c r="E542" t="inlineStr">
        <is>
          <t>Sistema de gas lift</t>
        </is>
      </c>
      <c r="F542" t="inlineStr">
        <is>
          <t>Amostral</t>
        </is>
      </c>
      <c r="G542" s="8" t="n">
        <v>546044.21</v>
      </c>
      <c r="H542" s="8" t="n">
        <v>546044.21</v>
      </c>
      <c r="I542" s="8">
        <f>G542-H542</f>
        <v/>
      </c>
      <c r="J542" s="11">
        <f>IF(G542=0,0,MIN(1,I542/G542))</f>
        <v/>
      </c>
    </row>
    <row r="543">
      <c r="A543" t="inlineStr">
        <is>
          <t>IMB0058332</t>
        </is>
      </c>
      <c r="B543" t="inlineStr">
        <is>
          <t>Ativos de Óleo e Gás - Peregrino</t>
        </is>
      </c>
      <c r="C543" t="inlineStr">
        <is>
          <t>Prio Tigris</t>
        </is>
      </c>
      <c r="D543" t="inlineStr">
        <is>
          <t>Peregrino</t>
        </is>
      </c>
      <c r="E543" t="inlineStr">
        <is>
          <t>Poço injetor - perfuração</t>
        </is>
      </c>
      <c r="F543" t="inlineStr">
        <is>
          <t>Amostral</t>
        </is>
      </c>
      <c r="G543" s="8" t="n">
        <v>180536.93</v>
      </c>
      <c r="H543" s="8" t="n">
        <v>180536.93</v>
      </c>
      <c r="I543" s="8">
        <f>G543-H543</f>
        <v/>
      </c>
      <c r="J543" s="11">
        <f>IF(G543=0,0,MIN(1,I543/G543))</f>
        <v/>
      </c>
    </row>
    <row r="544">
      <c r="A544" t="inlineStr">
        <is>
          <t>IMB0058386</t>
        </is>
      </c>
      <c r="B544" t="inlineStr">
        <is>
          <t>Ativos de Óleo e Gás - Peregrino</t>
        </is>
      </c>
      <c r="C544" t="inlineStr">
        <is>
          <t>Prio Tigris</t>
        </is>
      </c>
      <c r="D544" t="inlineStr">
        <is>
          <t>Peregrino</t>
        </is>
      </c>
      <c r="E544" t="inlineStr">
        <is>
          <t>Poço injetor - perfuração</t>
        </is>
      </c>
      <c r="F544" t="inlineStr">
        <is>
          <t>Amostral</t>
        </is>
      </c>
      <c r="G544" s="8" t="n">
        <v>1447570.71</v>
      </c>
      <c r="H544" s="8" t="n">
        <v>1447570.71</v>
      </c>
      <c r="I544" s="8">
        <f>G544-H544</f>
        <v/>
      </c>
      <c r="J544" s="11">
        <f>IF(G544=0,0,MIN(1,I544/G544))</f>
        <v/>
      </c>
    </row>
    <row r="545">
      <c r="A545" t="inlineStr">
        <is>
          <t>IMB0058476</t>
        </is>
      </c>
      <c r="B545" t="inlineStr">
        <is>
          <t>Ativos de Óleo e Gás - Peregrino</t>
        </is>
      </c>
      <c r="C545" t="inlineStr">
        <is>
          <t>Prio Tigris</t>
        </is>
      </c>
      <c r="D545" t="inlineStr">
        <is>
          <t>Peregrino</t>
        </is>
      </c>
      <c r="E545" t="inlineStr">
        <is>
          <t>Custo de abandono capitalizado (ARO)</t>
        </is>
      </c>
      <c r="F545" t="inlineStr">
        <is>
          <t>Amostral</t>
        </is>
      </c>
      <c r="G545" s="8" t="n">
        <v>402934.21</v>
      </c>
      <c r="H545" s="8" t="n">
        <v>402934.21</v>
      </c>
      <c r="I545" s="8">
        <f>G545-H545</f>
        <v/>
      </c>
      <c r="J545" s="11">
        <f>IF(G545=0,0,MIN(1,I545/G545))</f>
        <v/>
      </c>
    </row>
    <row r="546">
      <c r="A546" t="inlineStr">
        <is>
          <t>IMB0058544</t>
        </is>
      </c>
      <c r="B546" t="inlineStr">
        <is>
          <t>Ativos de Óleo e Gás - Peregrino</t>
        </is>
      </c>
      <c r="C546" t="inlineStr">
        <is>
          <t>Prio Tigris</t>
        </is>
      </c>
      <c r="D546" t="inlineStr">
        <is>
          <t>Peregrino</t>
        </is>
      </c>
      <c r="E546" t="inlineStr">
        <is>
          <t>Manifold submarino</t>
        </is>
      </c>
      <c r="F546" t="inlineStr">
        <is>
          <t>Amostral</t>
        </is>
      </c>
      <c r="G546" s="8" t="n">
        <v>468282.55</v>
      </c>
      <c r="H546" s="8" t="n">
        <v>468282.55</v>
      </c>
      <c r="I546" s="8">
        <f>G546-H546</f>
        <v/>
      </c>
      <c r="J546" s="11">
        <f>IF(G546=0,0,MIN(1,I546/G546))</f>
        <v/>
      </c>
    </row>
    <row r="547">
      <c r="A547" t="inlineStr">
        <is>
          <t>IMB0058626</t>
        </is>
      </c>
      <c r="B547" t="inlineStr">
        <is>
          <t>Ativos de Óleo e Gás - Peregrino</t>
        </is>
      </c>
      <c r="C547" t="inlineStr">
        <is>
          <t>Prio Tigris</t>
        </is>
      </c>
      <c r="D547" t="inlineStr">
        <is>
          <t>Peregrino</t>
        </is>
      </c>
      <c r="E547" t="inlineStr">
        <is>
          <t>Duto de exportação de gás</t>
        </is>
      </c>
      <c r="F547" t="inlineStr">
        <is>
          <t>Amostral</t>
        </is>
      </c>
      <c r="G547" s="8" t="n">
        <v>41440.43</v>
      </c>
      <c r="H547" s="8" t="n">
        <v>41440.43</v>
      </c>
      <c r="I547" s="8">
        <f>G547-H547</f>
        <v/>
      </c>
      <c r="J547" s="11">
        <f>IF(G547=0,0,MIN(1,I547/G547))</f>
        <v/>
      </c>
    </row>
    <row r="548">
      <c r="A548" t="inlineStr">
        <is>
          <t>IMB0058695</t>
        </is>
      </c>
      <c r="B548" t="inlineStr">
        <is>
          <t>Ativos de Óleo e Gás - Peregrino</t>
        </is>
      </c>
      <c r="C548" t="inlineStr">
        <is>
          <t>Prio Tigris</t>
        </is>
      </c>
      <c r="D548" t="inlineStr">
        <is>
          <t>Peregrino</t>
        </is>
      </c>
      <c r="E548" t="inlineStr">
        <is>
          <t>Poço injetor - perfuração</t>
        </is>
      </c>
      <c r="F548" t="inlineStr">
        <is>
          <t>Amostral</t>
        </is>
      </c>
      <c r="G548" s="8" t="n">
        <v>3337992.22</v>
      </c>
      <c r="H548" s="8" t="n">
        <v>3337992.22</v>
      </c>
      <c r="I548" s="8">
        <f>G548-H548</f>
        <v/>
      </c>
      <c r="J548" s="11">
        <f>IF(G548=0,0,MIN(1,I548/G548))</f>
        <v/>
      </c>
    </row>
    <row r="549">
      <c r="A549" t="inlineStr">
        <is>
          <t>IMB0058738</t>
        </is>
      </c>
      <c r="B549" t="inlineStr">
        <is>
          <t>Ativos de Óleo e Gás - Peregrino</t>
        </is>
      </c>
      <c r="C549" t="inlineStr">
        <is>
          <t>Prio Tigris</t>
        </is>
      </c>
      <c r="D549" t="inlineStr">
        <is>
          <t>Peregrino</t>
        </is>
      </c>
      <c r="E549" t="inlineStr">
        <is>
          <t>Custo de abandono capitalizado (ARO)</t>
        </is>
      </c>
      <c r="F549" t="inlineStr">
        <is>
          <t>Amostral</t>
        </is>
      </c>
      <c r="G549" s="8" t="n">
        <v>930021.99</v>
      </c>
      <c r="H549" s="8" t="n">
        <v>930021.99</v>
      </c>
      <c r="I549" s="8">
        <f>G549-H549</f>
        <v/>
      </c>
      <c r="J549" s="11">
        <f>IF(G549=0,0,MIN(1,I549/G549))</f>
        <v/>
      </c>
    </row>
    <row r="550">
      <c r="A550" t="inlineStr">
        <is>
          <t>IMB0058803</t>
        </is>
      </c>
      <c r="B550" t="inlineStr">
        <is>
          <t>Ativos de Óleo e Gás - Peregrino</t>
        </is>
      </c>
      <c r="C550" t="inlineStr">
        <is>
          <t>Prio Tigris</t>
        </is>
      </c>
      <c r="D550" t="inlineStr">
        <is>
          <t>Peregrino</t>
        </is>
      </c>
      <c r="E550" t="inlineStr">
        <is>
          <t>Poço produtor - perfuração</t>
        </is>
      </c>
      <c r="F550" t="inlineStr">
        <is>
          <t>Amostral</t>
        </is>
      </c>
      <c r="G550" s="8" t="n">
        <v>107043.98</v>
      </c>
      <c r="H550" s="8" t="n">
        <v>107043.98</v>
      </c>
      <c r="I550" s="8">
        <f>G550-H550</f>
        <v/>
      </c>
      <c r="J550" s="11">
        <f>IF(G550=0,0,MIN(1,I550/G550))</f>
        <v/>
      </c>
    </row>
    <row r="551">
      <c r="A551" t="inlineStr">
        <is>
          <t>IMB0058898</t>
        </is>
      </c>
      <c r="B551" t="inlineStr">
        <is>
          <t>Ativos de Óleo e Gás - Peregrino</t>
        </is>
      </c>
      <c r="C551" t="inlineStr">
        <is>
          <t>Prio Tigris</t>
        </is>
      </c>
      <c r="D551" t="inlineStr">
        <is>
          <t>Peregrino</t>
        </is>
      </c>
      <c r="E551" t="inlineStr">
        <is>
          <t>Poço produtor - perfuração</t>
        </is>
      </c>
      <c r="F551" t="inlineStr">
        <is>
          <t>Amostral</t>
        </is>
      </c>
      <c r="G551" s="8" t="n">
        <v>1387149.15</v>
      </c>
      <c r="H551" s="8" t="n">
        <v>1387149.15</v>
      </c>
      <c r="I551" s="8">
        <f>G551-H551</f>
        <v/>
      </c>
      <c r="J551" s="11">
        <f>IF(G551=0,0,MIN(1,I551/G551))</f>
        <v/>
      </c>
    </row>
    <row r="552">
      <c r="A552" t="inlineStr">
        <is>
          <t>IMB0058967</t>
        </is>
      </c>
      <c r="B552" t="inlineStr">
        <is>
          <t>Ativos de Óleo e Gás - Peregrino</t>
        </is>
      </c>
      <c r="C552" t="inlineStr">
        <is>
          <t>Prio Tigris</t>
        </is>
      </c>
      <c r="D552" t="inlineStr">
        <is>
          <t>Peregrino</t>
        </is>
      </c>
      <c r="E552" t="inlineStr">
        <is>
          <t>Custo de abandono capitalizado (ARO)</t>
        </is>
      </c>
      <c r="F552" t="inlineStr">
        <is>
          <t>Amostral</t>
        </is>
      </c>
      <c r="G552" s="8" t="n">
        <v>10919228.03</v>
      </c>
      <c r="H552" s="8" t="n">
        <v>10919228.03</v>
      </c>
      <c r="I552" s="8">
        <f>G552-H552</f>
        <v/>
      </c>
      <c r="J552" s="11">
        <f>IF(G552=0,0,MIN(1,I552/G552))</f>
        <v/>
      </c>
    </row>
    <row r="553">
      <c r="A553" t="inlineStr">
        <is>
          <t>IMB0059032</t>
        </is>
      </c>
      <c r="B553" t="inlineStr">
        <is>
          <t>Ativos de Óleo e Gás - Peregrino</t>
        </is>
      </c>
      <c r="C553" t="inlineStr">
        <is>
          <t>Prio Tigris</t>
        </is>
      </c>
      <c r="D553" t="inlineStr">
        <is>
          <t>Peregrino</t>
        </is>
      </c>
      <c r="E553" t="inlineStr">
        <is>
          <t>Riser flexível</t>
        </is>
      </c>
      <c r="F553" t="inlineStr">
        <is>
          <t>Amostral</t>
        </is>
      </c>
      <c r="G553" s="8" t="n">
        <v>2422168.13</v>
      </c>
      <c r="H553" s="8" t="n">
        <v>2422168.13</v>
      </c>
      <c r="I553" s="8">
        <f>G553-H553</f>
        <v/>
      </c>
      <c r="J553" s="11">
        <f>IF(G553=0,0,MIN(1,I553/G553))</f>
        <v/>
      </c>
    </row>
    <row r="554">
      <c r="A554" t="inlineStr">
        <is>
          <t>IMB0059077</t>
        </is>
      </c>
      <c r="B554" t="inlineStr">
        <is>
          <t>Ativos de Óleo e Gás - Peregrino</t>
        </is>
      </c>
      <c r="C554" t="inlineStr">
        <is>
          <t>Prio Tigris</t>
        </is>
      </c>
      <c r="D554" t="inlineStr">
        <is>
          <t>Peregrino</t>
        </is>
      </c>
      <c r="E554" t="inlineStr">
        <is>
          <t>Equipamento de controle submarino (SCM)</t>
        </is>
      </c>
      <c r="F554" t="inlineStr">
        <is>
          <t>Amostral</t>
        </is>
      </c>
      <c r="G554" s="8" t="n">
        <v>8899823.199999999</v>
      </c>
      <c r="H554" s="8" t="n">
        <v>8899823.199999999</v>
      </c>
      <c r="I554" s="8">
        <f>G554-H554</f>
        <v/>
      </c>
      <c r="J554" s="11">
        <f>IF(G554=0,0,MIN(1,I554/G554))</f>
        <v/>
      </c>
    </row>
    <row r="555">
      <c r="A555" t="inlineStr">
        <is>
          <t>IMB0059145</t>
        </is>
      </c>
      <c r="B555" t="inlineStr">
        <is>
          <t>Ativos de Óleo e Gás - Peregrino</t>
        </is>
      </c>
      <c r="C555" t="inlineStr">
        <is>
          <t>Prio Tigris</t>
        </is>
      </c>
      <c r="D555" t="inlineStr">
        <is>
          <t>Peregrino</t>
        </is>
      </c>
      <c r="E555" t="inlineStr">
        <is>
          <t>Poço injetor - perfuração</t>
        </is>
      </c>
      <c r="F555" t="inlineStr">
        <is>
          <t>Amostral</t>
        </is>
      </c>
      <c r="G555" s="8" t="n">
        <v>1001668.46</v>
      </c>
      <c r="H555" s="8" t="n">
        <v>1001668.46</v>
      </c>
      <c r="I555" s="8">
        <f>G555-H555</f>
        <v/>
      </c>
      <c r="J555" s="11">
        <f>IF(G555=0,0,MIN(1,I555/G555))</f>
        <v/>
      </c>
    </row>
    <row r="556">
      <c r="A556" t="inlineStr">
        <is>
          <t>IMB0059221</t>
        </is>
      </c>
      <c r="B556" t="inlineStr">
        <is>
          <t>Ativos de Óleo e Gás - Peregrino</t>
        </is>
      </c>
      <c r="C556" t="inlineStr">
        <is>
          <t>Prio Tigris</t>
        </is>
      </c>
      <c r="D556" t="inlineStr">
        <is>
          <t>Peregrino</t>
        </is>
      </c>
      <c r="E556" t="inlineStr">
        <is>
          <t>Duto de exportação de gás</t>
        </is>
      </c>
      <c r="F556" t="inlineStr">
        <is>
          <t>Amostral</t>
        </is>
      </c>
      <c r="G556" s="8" t="n">
        <v>2144769.77</v>
      </c>
      <c r="H556" s="8" t="n">
        <v>2144769.77</v>
      </c>
      <c r="I556" s="8">
        <f>G556-H556</f>
        <v/>
      </c>
      <c r="J556" s="11">
        <f>IF(G556=0,0,MIN(1,I556/G556))</f>
        <v/>
      </c>
    </row>
    <row r="557">
      <c r="A557" t="inlineStr">
        <is>
          <t>IMB0059275</t>
        </is>
      </c>
      <c r="B557" t="inlineStr">
        <is>
          <t>Ativos de Óleo e Gás - Peregrino</t>
        </is>
      </c>
      <c r="C557" t="inlineStr">
        <is>
          <t>Prio Tigris</t>
        </is>
      </c>
      <c r="D557" t="inlineStr">
        <is>
          <t>Peregrino</t>
        </is>
      </c>
      <c r="E557" t="inlineStr">
        <is>
          <t>Jumper submarino</t>
        </is>
      </c>
      <c r="F557" t="inlineStr">
        <is>
          <t>Amostral</t>
        </is>
      </c>
      <c r="G557" s="8" t="n">
        <v>397453.76</v>
      </c>
      <c r="H557" s="8" t="n">
        <v>397453.76</v>
      </c>
      <c r="I557" s="8">
        <f>G557-H557</f>
        <v/>
      </c>
      <c r="J557" s="11">
        <f>IF(G557=0,0,MIN(1,I557/G557))</f>
        <v/>
      </c>
    </row>
    <row r="558">
      <c r="A558" t="inlineStr">
        <is>
          <t>IMB0059359</t>
        </is>
      </c>
      <c r="B558" t="inlineStr">
        <is>
          <t>Ativos de Óleo e Gás - Peregrino</t>
        </is>
      </c>
      <c r="C558" t="inlineStr">
        <is>
          <t>Prio Tigris</t>
        </is>
      </c>
      <c r="D558" t="inlineStr">
        <is>
          <t>Peregrino</t>
        </is>
      </c>
      <c r="E558" t="inlineStr">
        <is>
          <t>Riser flexível</t>
        </is>
      </c>
      <c r="F558" t="inlineStr">
        <is>
          <t>Amostral</t>
        </is>
      </c>
      <c r="G558" s="8" t="n">
        <v>758843.58</v>
      </c>
      <c r="H558" s="8" t="n">
        <v>758843.58</v>
      </c>
      <c r="I558" s="8">
        <f>G558-H558</f>
        <v/>
      </c>
      <c r="J558" s="11">
        <f>IF(G558=0,0,MIN(1,I558/G558))</f>
        <v/>
      </c>
    </row>
    <row r="559">
      <c r="A559" t="inlineStr">
        <is>
          <t>IMB0059407</t>
        </is>
      </c>
      <c r="B559" t="inlineStr">
        <is>
          <t>Ativos de Óleo e Gás - Peregrino</t>
        </is>
      </c>
      <c r="C559" t="inlineStr">
        <is>
          <t>Prio Tigris</t>
        </is>
      </c>
      <c r="D559" t="inlineStr">
        <is>
          <t>Peregrino</t>
        </is>
      </c>
      <c r="E559" t="inlineStr">
        <is>
          <t>Riser flexível</t>
        </is>
      </c>
      <c r="F559" t="inlineStr">
        <is>
          <t>Amostral</t>
        </is>
      </c>
      <c r="G559" s="8" t="n">
        <v>3083393.92</v>
      </c>
      <c r="H559" s="8" t="n">
        <v>3083393.92</v>
      </c>
      <c r="I559" s="8">
        <f>G559-H559</f>
        <v/>
      </c>
      <c r="J559" s="11">
        <f>IF(G559=0,0,MIN(1,I559/G559))</f>
        <v/>
      </c>
    </row>
    <row r="560">
      <c r="A560" t="inlineStr">
        <is>
          <t>IMB0059455</t>
        </is>
      </c>
      <c r="B560" t="inlineStr">
        <is>
          <t>Ativos de Óleo e Gás - Peregrino</t>
        </is>
      </c>
      <c r="C560" t="inlineStr">
        <is>
          <t>Prio Tigris</t>
        </is>
      </c>
      <c r="D560" t="inlineStr">
        <is>
          <t>Peregrino</t>
        </is>
      </c>
      <c r="E560" t="inlineStr">
        <is>
          <t>Poço produtor - completação</t>
        </is>
      </c>
      <c r="F560" t="inlineStr">
        <is>
          <t>Amostral</t>
        </is>
      </c>
      <c r="G560" s="8" t="n">
        <v>3066668.55</v>
      </c>
      <c r="H560" s="8" t="n">
        <v>3066668.55</v>
      </c>
      <c r="I560" s="8">
        <f>G560-H560</f>
        <v/>
      </c>
      <c r="J560" s="11">
        <f>IF(G560=0,0,MIN(1,I560/G560))</f>
        <v/>
      </c>
    </row>
    <row r="561">
      <c r="A561" t="inlineStr">
        <is>
          <t>IMB0059508</t>
        </is>
      </c>
      <c r="B561" t="inlineStr">
        <is>
          <t>Ativos de Óleo e Gás - Peregrino</t>
        </is>
      </c>
      <c r="C561" t="inlineStr">
        <is>
          <t>Prio Tigris</t>
        </is>
      </c>
      <c r="D561" t="inlineStr">
        <is>
          <t>Peregrino</t>
        </is>
      </c>
      <c r="E561" t="inlineStr">
        <is>
          <t>Duto de exportação de gás</t>
        </is>
      </c>
      <c r="F561" t="inlineStr">
        <is>
          <t>Amostral</t>
        </is>
      </c>
      <c r="G561" s="8" t="n">
        <v>2523177.47</v>
      </c>
      <c r="H561" s="8" t="n">
        <v>2523177.47</v>
      </c>
      <c r="I561" s="8">
        <f>G561-H561</f>
        <v/>
      </c>
      <c r="J561" s="11">
        <f>IF(G561=0,0,MIN(1,I561/G561))</f>
        <v/>
      </c>
    </row>
    <row r="562">
      <c r="A562" t="inlineStr">
        <is>
          <t>IMB0059571</t>
        </is>
      </c>
      <c r="B562" t="inlineStr">
        <is>
          <t>Ativos de Óleo e Gás - Peregrino</t>
        </is>
      </c>
      <c r="C562" t="inlineStr">
        <is>
          <t>Prio Tigris</t>
        </is>
      </c>
      <c r="D562" t="inlineStr">
        <is>
          <t>Peregrino</t>
        </is>
      </c>
      <c r="E562" t="inlineStr">
        <is>
          <t>Equipamento de controle submarino (SCM)</t>
        </is>
      </c>
      <c r="F562" t="inlineStr">
        <is>
          <t>Amostral</t>
        </is>
      </c>
      <c r="G562" s="8" t="n">
        <v>7975911.12</v>
      </c>
      <c r="H562" s="8" t="n">
        <v>7975911.12</v>
      </c>
      <c r="I562" s="8">
        <f>G562-H562</f>
        <v/>
      </c>
      <c r="J562" s="11">
        <f>IF(G562=0,0,MIN(1,I562/G562))</f>
        <v/>
      </c>
    </row>
    <row r="563">
      <c r="A563" t="inlineStr">
        <is>
          <t>IMB0059640</t>
        </is>
      </c>
      <c r="B563" t="inlineStr">
        <is>
          <t>Ativos de Óleo e Gás - Peregrino</t>
        </is>
      </c>
      <c r="C563" t="inlineStr">
        <is>
          <t>Prio Tigris</t>
        </is>
      </c>
      <c r="D563" t="inlineStr">
        <is>
          <t>Peregrino</t>
        </is>
      </c>
      <c r="E563" t="inlineStr">
        <is>
          <t>Jumper submarino</t>
        </is>
      </c>
      <c r="F563" t="inlineStr">
        <is>
          <t>Amostral</t>
        </is>
      </c>
      <c r="G563" s="8" t="n">
        <v>34027.77</v>
      </c>
      <c r="H563" s="8" t="n">
        <v>34027.77</v>
      </c>
      <c r="I563" s="8">
        <f>G563-H563</f>
        <v/>
      </c>
      <c r="J563" s="11">
        <f>IF(G563=0,0,MIN(1,I563/G563))</f>
        <v/>
      </c>
    </row>
    <row r="564">
      <c r="A564" t="inlineStr">
        <is>
          <t>IMB0059737</t>
        </is>
      </c>
      <c r="B564" t="inlineStr">
        <is>
          <t>Ativos de Óleo e Gás - Peregrino</t>
        </is>
      </c>
      <c r="C564" t="inlineStr">
        <is>
          <t>Prio Tigris</t>
        </is>
      </c>
      <c r="D564" t="inlineStr">
        <is>
          <t>Peregrino</t>
        </is>
      </c>
      <c r="E564" t="inlineStr">
        <is>
          <t>Riser flexível</t>
        </is>
      </c>
      <c r="F564" t="inlineStr">
        <is>
          <t>Amostral</t>
        </is>
      </c>
      <c r="G564" s="8" t="n">
        <v>118005.85</v>
      </c>
      <c r="H564" s="8" t="n">
        <v>118005.85</v>
      </c>
      <c r="I564" s="8">
        <f>G564-H564</f>
        <v/>
      </c>
      <c r="J564" s="11">
        <f>IF(G564=0,0,MIN(1,I564/G564))</f>
        <v/>
      </c>
    </row>
    <row r="565">
      <c r="A565" t="inlineStr">
        <is>
          <t>IMB0059796</t>
        </is>
      </c>
      <c r="B565" t="inlineStr">
        <is>
          <t>Ativos de Óleo e Gás - Peregrino</t>
        </is>
      </c>
      <c r="C565" t="inlineStr">
        <is>
          <t>Prio Tigris</t>
        </is>
      </c>
      <c r="D565" t="inlineStr">
        <is>
          <t>Peregrino</t>
        </is>
      </c>
      <c r="E565" t="inlineStr">
        <is>
          <t>Poço produtor - completação</t>
        </is>
      </c>
      <c r="F565" t="inlineStr">
        <is>
          <t>Amostral</t>
        </is>
      </c>
      <c r="G565" s="8" t="n">
        <v>3687543.57</v>
      </c>
      <c r="H565" s="8" t="n">
        <v>3687543.57</v>
      </c>
      <c r="I565" s="8">
        <f>G565-H565</f>
        <v/>
      </c>
      <c r="J565" s="11">
        <f>IF(G565=0,0,MIN(1,I565/G565))</f>
        <v/>
      </c>
    </row>
    <row r="566">
      <c r="A566" t="inlineStr">
        <is>
          <t>IMB0059870</t>
        </is>
      </c>
      <c r="B566" t="inlineStr">
        <is>
          <t>Ativos de Óleo e Gás - Peregrino</t>
        </is>
      </c>
      <c r="C566" t="inlineStr">
        <is>
          <t>Prio Tigris</t>
        </is>
      </c>
      <c r="D566" t="inlineStr">
        <is>
          <t>Peregrino</t>
        </is>
      </c>
      <c r="E566" t="inlineStr">
        <is>
          <t>Sistema de gas lift</t>
        </is>
      </c>
      <c r="F566" t="inlineStr">
        <is>
          <t>Amostral</t>
        </is>
      </c>
      <c r="G566" s="8" t="n">
        <v>6922533.6</v>
      </c>
      <c r="H566" s="8" t="n">
        <v>6922533.6</v>
      </c>
      <c r="I566" s="8">
        <f>G566-H566</f>
        <v/>
      </c>
      <c r="J566" s="11">
        <f>IF(G566=0,0,MIN(1,I566/G566))</f>
        <v/>
      </c>
    </row>
    <row r="567">
      <c r="A567" t="inlineStr">
        <is>
          <t>IMB0059946</t>
        </is>
      </c>
      <c r="B567" t="inlineStr">
        <is>
          <t>Ativos de Óleo e Gás - Peregrino</t>
        </is>
      </c>
      <c r="C567" t="inlineStr">
        <is>
          <t>Prio Tigris</t>
        </is>
      </c>
      <c r="D567" t="inlineStr">
        <is>
          <t>Peregrino</t>
        </is>
      </c>
      <c r="E567" t="inlineStr">
        <is>
          <t>Equipamento de controle submarino (SCM)</t>
        </is>
      </c>
      <c r="F567" t="inlineStr">
        <is>
          <t>Amostral</t>
        </is>
      </c>
      <c r="G567" s="8" t="n">
        <v>637763.0600000001</v>
      </c>
      <c r="H567" s="8" t="n">
        <v>637763.0600000001</v>
      </c>
      <c r="I567" s="8">
        <f>G567-H567</f>
        <v/>
      </c>
      <c r="J567" s="11">
        <f>IF(G567=0,0,MIN(1,I567/G567))</f>
        <v/>
      </c>
    </row>
    <row r="568">
      <c r="A568" t="inlineStr">
        <is>
          <t>IMB0060010</t>
        </is>
      </c>
      <c r="B568" t="inlineStr">
        <is>
          <t>Ativos de Óleo e Gás - Peregrino</t>
        </is>
      </c>
      <c r="C568" t="inlineStr">
        <is>
          <t>Prio Tigris</t>
        </is>
      </c>
      <c r="D568" t="inlineStr">
        <is>
          <t>Peregrino</t>
        </is>
      </c>
      <c r="E568" t="inlineStr">
        <is>
          <t>Duto de exportação de gás</t>
        </is>
      </c>
      <c r="F568" t="inlineStr">
        <is>
          <t>Amostral</t>
        </is>
      </c>
      <c r="G568" s="8" t="n">
        <v>15076872.81</v>
      </c>
      <c r="H568" s="8" t="n">
        <v>15076872.81</v>
      </c>
      <c r="I568" s="8">
        <f>G568-H568</f>
        <v/>
      </c>
      <c r="J568" s="11">
        <f>IF(G568=0,0,MIN(1,I568/G568))</f>
        <v/>
      </c>
    </row>
    <row r="569">
      <c r="A569" t="inlineStr">
        <is>
          <t>IMB0060021</t>
        </is>
      </c>
      <c r="B569" t="inlineStr">
        <is>
          <t>Ativos de Óleo e Gás - Peregrino</t>
        </is>
      </c>
      <c r="C569" t="inlineStr">
        <is>
          <t>Prio Tigris</t>
        </is>
      </c>
      <c r="D569" t="inlineStr">
        <is>
          <t>Peregrino</t>
        </is>
      </c>
      <c r="E569" t="inlineStr">
        <is>
          <t>Riser flexível</t>
        </is>
      </c>
      <c r="F569" t="inlineStr">
        <is>
          <t>Amostral</t>
        </is>
      </c>
      <c r="G569" s="8" t="n">
        <v>6724563.98</v>
      </c>
      <c r="H569" s="8" t="n">
        <v>6724563.98</v>
      </c>
      <c r="I569" s="8">
        <f>G569-H569</f>
        <v/>
      </c>
      <c r="J569" s="11">
        <f>IF(G569=0,0,MIN(1,I569/G569))</f>
        <v/>
      </c>
    </row>
    <row r="570">
      <c r="A570" t="inlineStr">
        <is>
          <t>IMB0060058</t>
        </is>
      </c>
      <c r="B570" t="inlineStr">
        <is>
          <t>Ativos de Óleo e Gás - Peregrino</t>
        </is>
      </c>
      <c r="C570" t="inlineStr">
        <is>
          <t>Prio Tigris</t>
        </is>
      </c>
      <c r="D570" t="inlineStr">
        <is>
          <t>Peregrino</t>
        </is>
      </c>
      <c r="E570" t="inlineStr">
        <is>
          <t>Sistema de gas lift</t>
        </is>
      </c>
      <c r="F570" t="inlineStr">
        <is>
          <t>Amostral</t>
        </is>
      </c>
      <c r="G570" s="8" t="n">
        <v>18797966.01</v>
      </c>
      <c r="H570" s="8" t="n">
        <v>18797966.01</v>
      </c>
      <c r="I570" s="8">
        <f>G570-H570</f>
        <v/>
      </c>
      <c r="J570" s="11">
        <f>IF(G570=0,0,MIN(1,I570/G570))</f>
        <v/>
      </c>
    </row>
    <row r="571">
      <c r="A571" t="inlineStr">
        <is>
          <t>IMB0060113</t>
        </is>
      </c>
      <c r="B571" t="inlineStr">
        <is>
          <t>Ativos de Óleo e Gás - Peregrino</t>
        </is>
      </c>
      <c r="C571" t="inlineStr">
        <is>
          <t>Prio Tigris</t>
        </is>
      </c>
      <c r="D571" t="inlineStr">
        <is>
          <t>Peregrino</t>
        </is>
      </c>
      <c r="E571" t="inlineStr">
        <is>
          <t>Poço produtor - completação</t>
        </is>
      </c>
      <c r="F571" t="inlineStr">
        <is>
          <t>Amostral</t>
        </is>
      </c>
      <c r="G571" s="8" t="n">
        <v>2881479.67</v>
      </c>
      <c r="H571" s="8" t="n">
        <v>2881479.67</v>
      </c>
      <c r="I571" s="8">
        <f>G571-H571</f>
        <v/>
      </c>
      <c r="J571" s="11">
        <f>IF(G571=0,0,MIN(1,I571/G571))</f>
        <v/>
      </c>
    </row>
    <row r="572">
      <c r="A572" t="inlineStr">
        <is>
          <t>IMB0060171</t>
        </is>
      </c>
      <c r="B572" t="inlineStr">
        <is>
          <t>Ativos de Óleo e Gás - Peregrino</t>
        </is>
      </c>
      <c r="C572" t="inlineStr">
        <is>
          <t>Prio Tigris</t>
        </is>
      </c>
      <c r="D572" t="inlineStr">
        <is>
          <t>Peregrino</t>
        </is>
      </c>
      <c r="E572" t="inlineStr">
        <is>
          <t>Sistema de gas lift</t>
        </is>
      </c>
      <c r="F572" t="inlineStr">
        <is>
          <t>Amostral</t>
        </is>
      </c>
      <c r="G572" s="8" t="n">
        <v>1357395.56</v>
      </c>
      <c r="H572" s="8" t="n">
        <v>1357395.56</v>
      </c>
      <c r="I572" s="8">
        <f>G572-H572</f>
        <v/>
      </c>
      <c r="J572" s="11">
        <f>IF(G572=0,0,MIN(1,I572/G572))</f>
        <v/>
      </c>
    </row>
    <row r="573">
      <c r="A573" t="inlineStr">
        <is>
          <t>IMB0060264</t>
        </is>
      </c>
      <c r="B573" t="inlineStr">
        <is>
          <t>Ativos de Óleo e Gás - Peregrino</t>
        </is>
      </c>
      <c r="C573" t="inlineStr">
        <is>
          <t>Prio Tigris</t>
        </is>
      </c>
      <c r="D573" t="inlineStr">
        <is>
          <t>Peregrino</t>
        </is>
      </c>
      <c r="E573" t="inlineStr">
        <is>
          <t>Equipamento de controle submarino (SCM)</t>
        </is>
      </c>
      <c r="F573" t="inlineStr">
        <is>
          <t>Amostral</t>
        </is>
      </c>
      <c r="G573" s="8" t="n">
        <v>761967.08</v>
      </c>
      <c r="H573" s="8" t="n">
        <v>761967.08</v>
      </c>
      <c r="I573" s="8">
        <f>G573-H573</f>
        <v/>
      </c>
      <c r="J573" s="11">
        <f>IF(G573=0,0,MIN(1,I573/G573))</f>
        <v/>
      </c>
    </row>
    <row r="574">
      <c r="A574" t="inlineStr">
        <is>
          <t>IMB0060344</t>
        </is>
      </c>
      <c r="B574" t="inlineStr">
        <is>
          <t>Ativos de Óleo e Gás - Peregrino</t>
        </is>
      </c>
      <c r="C574" t="inlineStr">
        <is>
          <t>Prio Tigris</t>
        </is>
      </c>
      <c r="D574" t="inlineStr">
        <is>
          <t>Peregrino</t>
        </is>
      </c>
      <c r="E574" t="inlineStr">
        <is>
          <t>Poço produtor - perfuração</t>
        </is>
      </c>
      <c r="F574" t="inlineStr">
        <is>
          <t>Amostral</t>
        </is>
      </c>
      <c r="G574" s="8" t="n">
        <v>9336985.34</v>
      </c>
      <c r="H574" s="8" t="n">
        <v>9336985.34</v>
      </c>
      <c r="I574" s="8">
        <f>G574-H574</f>
        <v/>
      </c>
      <c r="J574" s="11">
        <f>IF(G574=0,0,MIN(1,I574/G574))</f>
        <v/>
      </c>
    </row>
    <row r="575">
      <c r="A575" t="inlineStr">
        <is>
          <t>IMB0060404</t>
        </is>
      </c>
      <c r="B575" t="inlineStr">
        <is>
          <t>Ativos de Óleo e Gás - Peregrino</t>
        </is>
      </c>
      <c r="C575" t="inlineStr">
        <is>
          <t>Prio Tigris</t>
        </is>
      </c>
      <c r="D575" t="inlineStr">
        <is>
          <t>Peregrino</t>
        </is>
      </c>
      <c r="E575" t="inlineStr">
        <is>
          <t>Poço produtor - perfuração</t>
        </is>
      </c>
      <c r="F575" t="inlineStr">
        <is>
          <t>Amostral</t>
        </is>
      </c>
      <c r="G575" s="8" t="n">
        <v>198921.09</v>
      </c>
      <c r="H575" s="8" t="n">
        <v>198921.09</v>
      </c>
      <c r="I575" s="8">
        <f>G575-H575</f>
        <v/>
      </c>
      <c r="J575" s="11">
        <f>IF(G575=0,0,MIN(1,I575/G575))</f>
        <v/>
      </c>
    </row>
    <row r="576">
      <c r="A576" t="inlineStr">
        <is>
          <t>IMB0060475</t>
        </is>
      </c>
      <c r="B576" t="inlineStr">
        <is>
          <t>Ativos de Óleo e Gás - Peregrino</t>
        </is>
      </c>
      <c r="C576" t="inlineStr">
        <is>
          <t>Prio Tigris</t>
        </is>
      </c>
      <c r="D576" t="inlineStr">
        <is>
          <t>Peregrino</t>
        </is>
      </c>
      <c r="E576" t="inlineStr">
        <is>
          <t>Sistema de gas lift</t>
        </is>
      </c>
      <c r="F576" t="inlineStr">
        <is>
          <t>Amostral</t>
        </is>
      </c>
      <c r="G576" s="8" t="n">
        <v>1333457.03</v>
      </c>
      <c r="H576" s="8" t="n">
        <v>1333457.03</v>
      </c>
      <c r="I576" s="8">
        <f>G576-H576</f>
        <v/>
      </c>
      <c r="J576" s="11">
        <f>IF(G576=0,0,MIN(1,I576/G576))</f>
        <v/>
      </c>
    </row>
    <row r="577">
      <c r="A577" t="inlineStr">
        <is>
          <t>IMB0060559</t>
        </is>
      </c>
      <c r="B577" t="inlineStr">
        <is>
          <t>Ativos de Óleo e Gás - Peregrino</t>
        </is>
      </c>
      <c r="C577" t="inlineStr">
        <is>
          <t>Prio Tigris</t>
        </is>
      </c>
      <c r="D577" t="inlineStr">
        <is>
          <t>Peregrino</t>
        </is>
      </c>
      <c r="E577" t="inlineStr">
        <is>
          <t>Poço produtor - completação</t>
        </is>
      </c>
      <c r="F577" t="inlineStr">
        <is>
          <t>Amostral</t>
        </is>
      </c>
      <c r="G577" s="8" t="n">
        <v>106697.89</v>
      </c>
      <c r="H577" s="8" t="n">
        <v>106697.89</v>
      </c>
      <c r="I577" s="8">
        <f>G577-H577</f>
        <v/>
      </c>
      <c r="J577" s="11">
        <f>IF(G577=0,0,MIN(1,I577/G577))</f>
        <v/>
      </c>
    </row>
    <row r="578">
      <c r="A578" t="inlineStr">
        <is>
          <t>IMB0060614</t>
        </is>
      </c>
      <c r="B578" t="inlineStr">
        <is>
          <t>Ativos de Óleo e Gás - Peregrino</t>
        </is>
      </c>
      <c r="C578" t="inlineStr">
        <is>
          <t>Prio Tigris</t>
        </is>
      </c>
      <c r="D578" t="inlineStr">
        <is>
          <t>Peregrino</t>
        </is>
      </c>
      <c r="E578" t="inlineStr">
        <is>
          <t>Poço injetor - perfuração</t>
        </is>
      </c>
      <c r="F578" t="inlineStr">
        <is>
          <t>Amostral</t>
        </is>
      </c>
      <c r="G578" s="8" t="n">
        <v>4302224.3</v>
      </c>
      <c r="H578" s="8" t="n">
        <v>4302224.3</v>
      </c>
      <c r="I578" s="8">
        <f>G578-H578</f>
        <v/>
      </c>
      <c r="J578" s="11">
        <f>IF(G578=0,0,MIN(1,I578/G578))</f>
        <v/>
      </c>
    </row>
    <row r="579">
      <c r="A579" t="inlineStr">
        <is>
          <t>IMB0060690</t>
        </is>
      </c>
      <c r="B579" t="inlineStr">
        <is>
          <t>Ativos de Óleo e Gás - Peregrino</t>
        </is>
      </c>
      <c r="C579" t="inlineStr">
        <is>
          <t>Prio Tigris</t>
        </is>
      </c>
      <c r="D579" t="inlineStr">
        <is>
          <t>Peregrino</t>
        </is>
      </c>
      <c r="E579" t="inlineStr">
        <is>
          <t>Poço produtor - perfuração</t>
        </is>
      </c>
      <c r="F579" t="inlineStr">
        <is>
          <t>Amostral</t>
        </is>
      </c>
      <c r="G579" s="8" t="n">
        <v>3220277.19</v>
      </c>
      <c r="H579" s="8" t="n">
        <v>3220277.19</v>
      </c>
      <c r="I579" s="8">
        <f>G579-H579</f>
        <v/>
      </c>
      <c r="J579" s="11">
        <f>IF(G579=0,0,MIN(1,I579/G579))</f>
        <v/>
      </c>
    </row>
    <row r="580">
      <c r="A580" t="inlineStr">
        <is>
          <t>IMB0060739</t>
        </is>
      </c>
      <c r="B580" t="inlineStr">
        <is>
          <t>Ativos de Óleo e Gás - Peregrino</t>
        </is>
      </c>
      <c r="C580" t="inlineStr">
        <is>
          <t>Prio Tigris</t>
        </is>
      </c>
      <c r="D580" t="inlineStr">
        <is>
          <t>Peregrino</t>
        </is>
      </c>
      <c r="E580" t="inlineStr">
        <is>
          <t>Umbilical eletro-hidráulico</t>
        </is>
      </c>
      <c r="F580" t="inlineStr">
        <is>
          <t>Amostral</t>
        </is>
      </c>
      <c r="G580" s="8" t="n">
        <v>7679747.97</v>
      </c>
      <c r="H580" s="8" t="n">
        <v>7679747.97</v>
      </c>
      <c r="I580" s="8">
        <f>G580-H580</f>
        <v/>
      </c>
      <c r="J580" s="11">
        <f>IF(G580=0,0,MIN(1,I580/G580))</f>
        <v/>
      </c>
    </row>
    <row r="581">
      <c r="A581" t="inlineStr">
        <is>
          <t>IMB0060834</t>
        </is>
      </c>
      <c r="B581" t="inlineStr">
        <is>
          <t>Ativos de Óleo e Gás - Peregrino</t>
        </is>
      </c>
      <c r="C581" t="inlineStr">
        <is>
          <t>Prio Tigris</t>
        </is>
      </c>
      <c r="D581" t="inlineStr">
        <is>
          <t>Peregrino</t>
        </is>
      </c>
      <c r="E581" t="inlineStr">
        <is>
          <t>Jumper submarino</t>
        </is>
      </c>
      <c r="F581" t="inlineStr">
        <is>
          <t>Amostral</t>
        </is>
      </c>
      <c r="G581" s="8" t="n">
        <v>70272.06</v>
      </c>
      <c r="H581" s="8" t="n">
        <v>70272.06</v>
      </c>
      <c r="I581" s="8">
        <f>G581-H581</f>
        <v/>
      </c>
      <c r="J581" s="11">
        <f>IF(G581=0,0,MIN(1,I581/G581))</f>
        <v/>
      </c>
    </row>
    <row r="582">
      <c r="A582" t="inlineStr">
        <is>
          <t>IMB0060913</t>
        </is>
      </c>
      <c r="B582" t="inlineStr">
        <is>
          <t>Ativos de Óleo e Gás - Peregrino</t>
        </is>
      </c>
      <c r="C582" t="inlineStr">
        <is>
          <t>Prio Tigris</t>
        </is>
      </c>
      <c r="D582" t="inlineStr">
        <is>
          <t>Peregrino</t>
        </is>
      </c>
      <c r="E582" t="inlineStr">
        <is>
          <t>Jumper submarino</t>
        </is>
      </c>
      <c r="F582" t="inlineStr">
        <is>
          <t>Amostral</t>
        </is>
      </c>
      <c r="G582" s="8" t="n">
        <v>2507221.52</v>
      </c>
      <c r="H582" s="8" t="n">
        <v>2507221.52</v>
      </c>
      <c r="I582" s="8">
        <f>G582-H582</f>
        <v/>
      </c>
      <c r="J582" s="11">
        <f>IF(G582=0,0,MIN(1,I582/G582))</f>
        <v/>
      </c>
    </row>
    <row r="583">
      <c r="A583" t="inlineStr">
        <is>
          <t>IMB0060946</t>
        </is>
      </c>
      <c r="B583" t="inlineStr">
        <is>
          <t>Ativos de Óleo e Gás - Peregrino</t>
        </is>
      </c>
      <c r="C583" t="inlineStr">
        <is>
          <t>Prio Tigris</t>
        </is>
      </c>
      <c r="D583" t="inlineStr">
        <is>
          <t>Peregrino</t>
        </is>
      </c>
      <c r="E583" t="inlineStr">
        <is>
          <t>Poço produtor - completação</t>
        </is>
      </c>
      <c r="F583" t="inlineStr">
        <is>
          <t>Amostral</t>
        </is>
      </c>
      <c r="G583" s="8" t="n">
        <v>39288.28</v>
      </c>
      <c r="H583" s="8" t="n">
        <v>39288.28</v>
      </c>
      <c r="I583" s="8">
        <f>G583-H583</f>
        <v/>
      </c>
      <c r="J583" s="11">
        <f>IF(G583=0,0,MIN(1,I583/G583))</f>
        <v/>
      </c>
    </row>
    <row r="584">
      <c r="A584" t="inlineStr">
        <is>
          <t>IMB0061018</t>
        </is>
      </c>
      <c r="B584" t="inlineStr">
        <is>
          <t>Ativos de Óleo e Gás - Peregrino</t>
        </is>
      </c>
      <c r="C584" t="inlineStr">
        <is>
          <t>Prio Tigris</t>
        </is>
      </c>
      <c r="D584" t="inlineStr">
        <is>
          <t>Peregrino</t>
        </is>
      </c>
      <c r="E584" t="inlineStr">
        <is>
          <t>Poço produtor - perfuração</t>
        </is>
      </c>
      <c r="F584" t="inlineStr">
        <is>
          <t>Amostral</t>
        </is>
      </c>
      <c r="G584" s="8" t="n">
        <v>2266324.69</v>
      </c>
      <c r="H584" s="8" t="n">
        <v>2266324.69</v>
      </c>
      <c r="I584" s="8">
        <f>G584-H584</f>
        <v/>
      </c>
      <c r="J584" s="11">
        <f>IF(G584=0,0,MIN(1,I584/G584))</f>
        <v/>
      </c>
    </row>
    <row r="585">
      <c r="A585" t="inlineStr">
        <is>
          <t>IMB0061099</t>
        </is>
      </c>
      <c r="B585" t="inlineStr">
        <is>
          <t>Ativos de Óleo e Gás - Peregrino</t>
        </is>
      </c>
      <c r="C585" t="inlineStr">
        <is>
          <t>Prio Tigris</t>
        </is>
      </c>
      <c r="D585" t="inlineStr">
        <is>
          <t>Peregrino</t>
        </is>
      </c>
      <c r="E585" t="inlineStr">
        <is>
          <t>Duto de exportação de gás</t>
        </is>
      </c>
      <c r="F585" t="inlineStr">
        <is>
          <t>Amostral</t>
        </is>
      </c>
      <c r="G585" s="8" t="n">
        <v>184909.16</v>
      </c>
      <c r="H585" s="8" t="n">
        <v>184909.16</v>
      </c>
      <c r="I585" s="8">
        <f>G585-H585</f>
        <v/>
      </c>
      <c r="J585" s="11">
        <f>IF(G585=0,0,MIN(1,I585/G585))</f>
        <v/>
      </c>
    </row>
    <row r="586">
      <c r="A586" t="inlineStr">
        <is>
          <t>IMB0061168</t>
        </is>
      </c>
      <c r="B586" t="inlineStr">
        <is>
          <t>Ativos de Óleo e Gás - Peregrino</t>
        </is>
      </c>
      <c r="C586" t="inlineStr">
        <is>
          <t>Prio Tigris</t>
        </is>
      </c>
      <c r="D586" t="inlineStr">
        <is>
          <t>Peregrino</t>
        </is>
      </c>
      <c r="E586" t="inlineStr">
        <is>
          <t>Riser flexível</t>
        </is>
      </c>
      <c r="F586" t="inlineStr">
        <is>
          <t>Amostral</t>
        </is>
      </c>
      <c r="G586" s="8" t="n">
        <v>483141.1</v>
      </c>
      <c r="H586" s="8" t="n">
        <v>483141.1</v>
      </c>
      <c r="I586" s="8">
        <f>G586-H586</f>
        <v/>
      </c>
      <c r="J586" s="11">
        <f>IF(G586=0,0,MIN(1,I586/G586))</f>
        <v/>
      </c>
    </row>
    <row r="587">
      <c r="A587" t="inlineStr">
        <is>
          <t>IMB0061246</t>
        </is>
      </c>
      <c r="B587" t="inlineStr">
        <is>
          <t>Ativos de Óleo e Gás - Peregrino</t>
        </is>
      </c>
      <c r="C587" t="inlineStr">
        <is>
          <t>Prio Tigris</t>
        </is>
      </c>
      <c r="D587" t="inlineStr">
        <is>
          <t>Peregrino</t>
        </is>
      </c>
      <c r="E587" t="inlineStr">
        <is>
          <t>Árvore de natal molhada (ANM)</t>
        </is>
      </c>
      <c r="F587" t="inlineStr">
        <is>
          <t>Amostral</t>
        </is>
      </c>
      <c r="G587" s="8" t="n">
        <v>8115262.78</v>
      </c>
      <c r="H587" s="8" t="n">
        <v>8115262.78</v>
      </c>
      <c r="I587" s="8">
        <f>G587-H587</f>
        <v/>
      </c>
      <c r="J587" s="11">
        <f>IF(G587=0,0,MIN(1,I587/G587))</f>
        <v/>
      </c>
    </row>
    <row r="588">
      <c r="A588" t="inlineStr">
        <is>
          <t>IMB0061346</t>
        </is>
      </c>
      <c r="B588" t="inlineStr">
        <is>
          <t>Ativos de Óleo e Gás - Peregrino</t>
        </is>
      </c>
      <c r="C588" t="inlineStr">
        <is>
          <t>Prio Tigris</t>
        </is>
      </c>
      <c r="D588" t="inlineStr">
        <is>
          <t>Peregrino</t>
        </is>
      </c>
      <c r="E588" t="inlineStr">
        <is>
          <t>Poço injetor - perfuração</t>
        </is>
      </c>
      <c r="F588" t="inlineStr">
        <is>
          <t>Amostral</t>
        </is>
      </c>
      <c r="G588" s="8" t="n">
        <v>403868.03</v>
      </c>
      <c r="H588" s="8" t="n">
        <v>403868.03</v>
      </c>
      <c r="I588" s="8">
        <f>G588-H588</f>
        <v/>
      </c>
      <c r="J588" s="11">
        <f>IF(G588=0,0,MIN(1,I588/G588))</f>
        <v/>
      </c>
    </row>
    <row r="589">
      <c r="A589" t="inlineStr">
        <is>
          <t>IMB0061408</t>
        </is>
      </c>
      <c r="B589" t="inlineStr">
        <is>
          <t>Ativos de Óleo e Gás - Peregrino</t>
        </is>
      </c>
      <c r="C589" t="inlineStr">
        <is>
          <t>Prio Tigris</t>
        </is>
      </c>
      <c r="D589" t="inlineStr">
        <is>
          <t>Peregrino</t>
        </is>
      </c>
      <c r="E589" t="inlineStr">
        <is>
          <t>Sistema de gas lift</t>
        </is>
      </c>
      <c r="F589" t="inlineStr">
        <is>
          <t>Amostral</t>
        </is>
      </c>
      <c r="G589" s="8" t="n">
        <v>580048.71</v>
      </c>
      <c r="H589" s="8" t="n">
        <v>580048.71</v>
      </c>
      <c r="I589" s="8">
        <f>G589-H589</f>
        <v/>
      </c>
      <c r="J589" s="11">
        <f>IF(G589=0,0,MIN(1,I589/G589))</f>
        <v/>
      </c>
    </row>
    <row r="590">
      <c r="A590" t="inlineStr">
        <is>
          <t>IMB0061508</t>
        </is>
      </c>
      <c r="B590" t="inlineStr">
        <is>
          <t>Ativos de Óleo e Gás - Peregrino</t>
        </is>
      </c>
      <c r="C590" t="inlineStr">
        <is>
          <t>Prio Tigris</t>
        </is>
      </c>
      <c r="D590" t="inlineStr">
        <is>
          <t>Peregrino</t>
        </is>
      </c>
      <c r="E590" t="inlineStr">
        <is>
          <t>Sistema de gas lift</t>
        </is>
      </c>
      <c r="F590" t="inlineStr">
        <is>
          <t>Amostral</t>
        </is>
      </c>
      <c r="G590" s="8" t="n">
        <v>222892.63</v>
      </c>
      <c r="H590" s="8" t="n">
        <v>222892.63</v>
      </c>
      <c r="I590" s="8">
        <f>G590-H590</f>
        <v/>
      </c>
      <c r="J590" s="11">
        <f>IF(G590=0,0,MIN(1,I590/G590))</f>
        <v/>
      </c>
    </row>
    <row r="591">
      <c r="A591" t="inlineStr">
        <is>
          <t>IMB0061631</t>
        </is>
      </c>
      <c r="B591" t="inlineStr">
        <is>
          <t>Ativos de Óleo e Gás - Peregrino</t>
        </is>
      </c>
      <c r="C591" t="inlineStr">
        <is>
          <t>Prio Tigris</t>
        </is>
      </c>
      <c r="D591" t="inlineStr">
        <is>
          <t>Peregrino</t>
        </is>
      </c>
      <c r="E591" t="inlineStr">
        <is>
          <t>Equipamento de controle submarino (SCM)</t>
        </is>
      </c>
      <c r="F591" t="inlineStr">
        <is>
          <t>Amostral</t>
        </is>
      </c>
      <c r="G591" s="8" t="n">
        <v>109347.85</v>
      </c>
      <c r="H591" s="8" t="n">
        <v>109347.85</v>
      </c>
      <c r="I591" s="8">
        <f>G591-H591</f>
        <v/>
      </c>
      <c r="J591" s="11">
        <f>IF(G591=0,0,MIN(1,I591/G591))</f>
        <v/>
      </c>
    </row>
    <row r="592">
      <c r="A592" t="inlineStr">
        <is>
          <t>IMB0061715</t>
        </is>
      </c>
      <c r="B592" t="inlineStr">
        <is>
          <t>Ativos de Óleo e Gás - Peregrino</t>
        </is>
      </c>
      <c r="C592" t="inlineStr">
        <is>
          <t>Prio Tigris</t>
        </is>
      </c>
      <c r="D592" t="inlineStr">
        <is>
          <t>Peregrino</t>
        </is>
      </c>
      <c r="E592" t="inlineStr">
        <is>
          <t>Poço injetor - perfuração</t>
        </is>
      </c>
      <c r="F592" t="inlineStr">
        <is>
          <t>Amostral</t>
        </is>
      </c>
      <c r="G592" s="8" t="n">
        <v>529433.78</v>
      </c>
      <c r="H592" s="8" t="n">
        <v>529433.78</v>
      </c>
      <c r="I592" s="8">
        <f>G592-H592</f>
        <v/>
      </c>
      <c r="J592" s="11">
        <f>IF(G592=0,0,MIN(1,I592/G592))</f>
        <v/>
      </c>
    </row>
    <row r="593">
      <c r="A593" t="inlineStr">
        <is>
          <t>IMB0061816</t>
        </is>
      </c>
      <c r="B593" t="inlineStr">
        <is>
          <t>Ativos de Óleo e Gás - Peregrino</t>
        </is>
      </c>
      <c r="C593" t="inlineStr">
        <is>
          <t>Prio Tigris</t>
        </is>
      </c>
      <c r="D593" t="inlineStr">
        <is>
          <t>Peregrino</t>
        </is>
      </c>
      <c r="E593" t="inlineStr">
        <is>
          <t>Poço produtor - perfuração</t>
        </is>
      </c>
      <c r="F593" t="inlineStr">
        <is>
          <t>Amostral</t>
        </is>
      </c>
      <c r="G593" s="8" t="n">
        <v>243520</v>
      </c>
      <c r="H593" s="8" t="n">
        <v>243520</v>
      </c>
      <c r="I593" s="8">
        <f>G593-H593</f>
        <v/>
      </c>
      <c r="J593" s="11">
        <f>IF(G593=0,0,MIN(1,I593/G593))</f>
        <v/>
      </c>
    </row>
    <row r="594">
      <c r="A594" t="inlineStr">
        <is>
          <t>IMB0061882</t>
        </is>
      </c>
      <c r="B594" t="inlineStr">
        <is>
          <t>Ativos de Óleo e Gás - Peregrino</t>
        </is>
      </c>
      <c r="C594" t="inlineStr">
        <is>
          <t>Prio Tigris</t>
        </is>
      </c>
      <c r="D594" t="inlineStr">
        <is>
          <t>Peregrino</t>
        </is>
      </c>
      <c r="E594" t="inlineStr">
        <is>
          <t>Jumper submarino</t>
        </is>
      </c>
      <c r="F594" t="inlineStr">
        <is>
          <t>Amostral</t>
        </is>
      </c>
      <c r="G594" s="8" t="n">
        <v>569741.77</v>
      </c>
      <c r="H594" s="8" t="n">
        <v>569741.77</v>
      </c>
      <c r="I594" s="8">
        <f>G594-H594</f>
        <v/>
      </c>
      <c r="J594" s="11">
        <f>IF(G594=0,0,MIN(1,I594/G594))</f>
        <v/>
      </c>
    </row>
    <row r="595">
      <c r="A595" t="inlineStr">
        <is>
          <t>IMB0061960</t>
        </is>
      </c>
      <c r="B595" t="inlineStr">
        <is>
          <t>Ativos de Óleo e Gás - Peregrino</t>
        </is>
      </c>
      <c r="C595" t="inlineStr">
        <is>
          <t>Prio Tigris</t>
        </is>
      </c>
      <c r="D595" t="inlineStr">
        <is>
          <t>Peregrino</t>
        </is>
      </c>
      <c r="E595" t="inlineStr">
        <is>
          <t>Manifold submarino</t>
        </is>
      </c>
      <c r="F595" t="inlineStr">
        <is>
          <t>Amostral</t>
        </is>
      </c>
      <c r="G595" s="8" t="n">
        <v>1163382.72</v>
      </c>
      <c r="H595" s="8" t="n">
        <v>1163382.72</v>
      </c>
      <c r="I595" s="8">
        <f>G595-H595</f>
        <v/>
      </c>
      <c r="J595" s="11">
        <f>IF(G595=0,0,MIN(1,I595/G595))</f>
        <v/>
      </c>
    </row>
    <row r="596">
      <c r="A596" t="inlineStr">
        <is>
          <t>IMB0061985</t>
        </is>
      </c>
      <c r="B596" t="inlineStr">
        <is>
          <t>Ativos de Óleo e Gás - Peregrino</t>
        </is>
      </c>
      <c r="C596" t="inlineStr">
        <is>
          <t>Prio Tigris</t>
        </is>
      </c>
      <c r="D596" t="inlineStr">
        <is>
          <t>Peregrino</t>
        </is>
      </c>
      <c r="E596" t="inlineStr">
        <is>
          <t>Poço produtor - perfuração</t>
        </is>
      </c>
      <c r="F596" t="inlineStr">
        <is>
          <t>Amostral</t>
        </is>
      </c>
      <c r="G596" s="8" t="n">
        <v>17710248.7</v>
      </c>
      <c r="H596" s="8" t="n">
        <v>17710248.7</v>
      </c>
      <c r="I596" s="8">
        <f>G596-H596</f>
        <v/>
      </c>
      <c r="J596" s="11">
        <f>IF(G596=0,0,MIN(1,I596/G596))</f>
        <v/>
      </c>
    </row>
    <row r="597">
      <c r="A597" t="inlineStr">
        <is>
          <t>IMB0062044</t>
        </is>
      </c>
      <c r="B597" t="inlineStr">
        <is>
          <t>Ativos de Óleo e Gás - Peregrino</t>
        </is>
      </c>
      <c r="C597" t="inlineStr">
        <is>
          <t>Prio Tigris</t>
        </is>
      </c>
      <c r="D597" t="inlineStr">
        <is>
          <t>Peregrino</t>
        </is>
      </c>
      <c r="E597" t="inlineStr">
        <is>
          <t>Custo de abandono capitalizado (ARO)</t>
        </is>
      </c>
      <c r="F597" t="inlineStr">
        <is>
          <t>Amostral</t>
        </is>
      </c>
      <c r="G597" s="8" t="n">
        <v>13377448.31</v>
      </c>
      <c r="H597" s="8" t="n">
        <v>13377448.31</v>
      </c>
      <c r="I597" s="8">
        <f>G597-H597</f>
        <v/>
      </c>
      <c r="J597" s="11">
        <f>IF(G597=0,0,MIN(1,I597/G597))</f>
        <v/>
      </c>
    </row>
    <row r="598">
      <c r="A598" t="inlineStr">
        <is>
          <t>IMB0062105</t>
        </is>
      </c>
      <c r="B598" t="inlineStr">
        <is>
          <t>Ativos de Óleo e Gás - Peregrino</t>
        </is>
      </c>
      <c r="C598" t="inlineStr">
        <is>
          <t>Prio Tigris</t>
        </is>
      </c>
      <c r="D598" t="inlineStr">
        <is>
          <t>Peregrino</t>
        </is>
      </c>
      <c r="E598" t="inlineStr">
        <is>
          <t>Sistema de gas lift</t>
        </is>
      </c>
      <c r="F598" t="inlineStr">
        <is>
          <t>Amostral</t>
        </is>
      </c>
      <c r="G598" s="8" t="n">
        <v>622667.88</v>
      </c>
      <c r="H598" s="8" t="n">
        <v>622667.88</v>
      </c>
      <c r="I598" s="8">
        <f>G598-H598</f>
        <v/>
      </c>
      <c r="J598" s="11">
        <f>IF(G598=0,0,MIN(1,I598/G598))</f>
        <v/>
      </c>
    </row>
    <row r="599">
      <c r="A599" t="inlineStr">
        <is>
          <t>IMB0062197</t>
        </is>
      </c>
      <c r="B599" t="inlineStr">
        <is>
          <t>Ativos de Óleo e Gás - Peregrino</t>
        </is>
      </c>
      <c r="C599" t="inlineStr">
        <is>
          <t>Prio Tigris</t>
        </is>
      </c>
      <c r="D599" t="inlineStr">
        <is>
          <t>Peregrino</t>
        </is>
      </c>
      <c r="E599" t="inlineStr">
        <is>
          <t>Poço injetor - perfuração</t>
        </is>
      </c>
      <c r="F599" t="inlineStr">
        <is>
          <t>Amostral</t>
        </is>
      </c>
      <c r="G599" s="8" t="n">
        <v>2226691.15</v>
      </c>
      <c r="H599" s="8" t="n">
        <v>2226691.15</v>
      </c>
      <c r="I599" s="8">
        <f>G599-H599</f>
        <v/>
      </c>
      <c r="J599" s="11">
        <f>IF(G599=0,0,MIN(1,I599/G599))</f>
        <v/>
      </c>
    </row>
    <row r="600">
      <c r="A600" t="inlineStr">
        <is>
          <t>IMB0062281</t>
        </is>
      </c>
      <c r="B600" t="inlineStr">
        <is>
          <t>Ativos de Óleo e Gás - Peregrino</t>
        </is>
      </c>
      <c r="C600" t="inlineStr">
        <is>
          <t>Prio Tigris</t>
        </is>
      </c>
      <c r="D600" t="inlineStr">
        <is>
          <t>Peregrino</t>
        </is>
      </c>
      <c r="E600" t="inlineStr">
        <is>
          <t>Duto de exportação de gás</t>
        </is>
      </c>
      <c r="F600" t="inlineStr">
        <is>
          <t>Amostral</t>
        </is>
      </c>
      <c r="G600" s="8" t="n">
        <v>467036.98</v>
      </c>
      <c r="H600" s="8" t="n">
        <v>467036.98</v>
      </c>
      <c r="I600" s="8">
        <f>G600-H600</f>
        <v/>
      </c>
      <c r="J600" s="11">
        <f>IF(G600=0,0,MIN(1,I600/G600))</f>
        <v/>
      </c>
    </row>
    <row r="601">
      <c r="A601" t="inlineStr">
        <is>
          <t>IMB0062356</t>
        </is>
      </c>
      <c r="B601" t="inlineStr">
        <is>
          <t>Ativos de Óleo e Gás - Peregrino</t>
        </is>
      </c>
      <c r="C601" t="inlineStr">
        <is>
          <t>Prio Tigris</t>
        </is>
      </c>
      <c r="D601" t="inlineStr">
        <is>
          <t>Peregrino</t>
        </is>
      </c>
      <c r="E601" t="inlineStr">
        <is>
          <t>Umbilical eletro-hidráulico</t>
        </is>
      </c>
      <c r="F601" t="inlineStr">
        <is>
          <t>Amostral</t>
        </is>
      </c>
      <c r="G601" s="8" t="n">
        <v>115465.26</v>
      </c>
      <c r="H601" s="8" t="n">
        <v>115465.26</v>
      </c>
      <c r="I601" s="8">
        <f>G601-H601</f>
        <v/>
      </c>
      <c r="J601" s="11">
        <f>IF(G601=0,0,MIN(1,I601/G601))</f>
        <v/>
      </c>
    </row>
    <row r="602">
      <c r="A602" t="inlineStr">
        <is>
          <t>IMB0062440</t>
        </is>
      </c>
      <c r="B602" t="inlineStr">
        <is>
          <t>Ativos de Óleo e Gás - Peregrino</t>
        </is>
      </c>
      <c r="C602" t="inlineStr">
        <is>
          <t>Prio Tigris</t>
        </is>
      </c>
      <c r="D602" t="inlineStr">
        <is>
          <t>Peregrino</t>
        </is>
      </c>
      <c r="E602" t="inlineStr">
        <is>
          <t>Poço injetor - perfuração</t>
        </is>
      </c>
      <c r="F602" t="inlineStr">
        <is>
          <t>Amostral</t>
        </is>
      </c>
      <c r="G602" s="8" t="n">
        <v>3920004.47</v>
      </c>
      <c r="H602" s="8" t="n">
        <v>3920004.47</v>
      </c>
      <c r="I602" s="8">
        <f>G602-H602</f>
        <v/>
      </c>
      <c r="J602" s="11">
        <f>IF(G602=0,0,MIN(1,I602/G602))</f>
        <v/>
      </c>
    </row>
    <row r="603">
      <c r="A603" t="inlineStr">
        <is>
          <t>IMB0062500</t>
        </is>
      </c>
      <c r="B603" t="inlineStr">
        <is>
          <t>Ativos de Óleo e Gás - Peregrino</t>
        </is>
      </c>
      <c r="C603" t="inlineStr">
        <is>
          <t>Prio Tigris</t>
        </is>
      </c>
      <c r="D603" t="inlineStr">
        <is>
          <t>Peregrino</t>
        </is>
      </c>
      <c r="E603" t="inlineStr">
        <is>
          <t>Poço injetor - perfuração</t>
        </is>
      </c>
      <c r="F603" t="inlineStr">
        <is>
          <t>Amostral</t>
        </is>
      </c>
      <c r="G603" s="8" t="n">
        <v>205870.21</v>
      </c>
      <c r="H603" s="8" t="n">
        <v>205870.21</v>
      </c>
      <c r="I603" s="8">
        <f>G603-H603</f>
        <v/>
      </c>
      <c r="J603" s="11">
        <f>IF(G603=0,0,MIN(1,I603/G603))</f>
        <v/>
      </c>
    </row>
    <row r="604">
      <c r="A604" t="inlineStr">
        <is>
          <t>IMB0062616</t>
        </is>
      </c>
      <c r="B604" t="inlineStr">
        <is>
          <t>Ativos de Óleo e Gás - Peregrino</t>
        </is>
      </c>
      <c r="C604" t="inlineStr">
        <is>
          <t>Prio Tigris</t>
        </is>
      </c>
      <c r="D604" t="inlineStr">
        <is>
          <t>Peregrino</t>
        </is>
      </c>
      <c r="E604" t="inlineStr">
        <is>
          <t>Linha flexível de produção</t>
        </is>
      </c>
      <c r="F604" t="inlineStr">
        <is>
          <t>Amostral</t>
        </is>
      </c>
      <c r="G604" s="8" t="n">
        <v>172846.49</v>
      </c>
      <c r="H604" s="8" t="n">
        <v>172846.49</v>
      </c>
      <c r="I604" s="8">
        <f>G604-H604</f>
        <v/>
      </c>
      <c r="J604" s="11">
        <f>IF(G604=0,0,MIN(1,I604/G604))</f>
        <v/>
      </c>
    </row>
    <row r="605">
      <c r="A605" t="inlineStr">
        <is>
          <t>IMB0062682</t>
        </is>
      </c>
      <c r="B605" t="inlineStr">
        <is>
          <t>Ativos de Óleo e Gás - Peregrino</t>
        </is>
      </c>
      <c r="C605" t="inlineStr">
        <is>
          <t>Prio Tigris</t>
        </is>
      </c>
      <c r="D605" t="inlineStr">
        <is>
          <t>Peregrino</t>
        </is>
      </c>
      <c r="E605" t="inlineStr">
        <is>
          <t>Riser flexível</t>
        </is>
      </c>
      <c r="F605" t="inlineStr">
        <is>
          <t>Amostral</t>
        </is>
      </c>
      <c r="G605" s="8" t="n">
        <v>10981377.1</v>
      </c>
      <c r="H605" s="8" t="n">
        <v>10981377.1</v>
      </c>
      <c r="I605" s="8">
        <f>G605-H605</f>
        <v/>
      </c>
      <c r="J605" s="11">
        <f>IF(G605=0,0,MIN(1,I605/G605))</f>
        <v/>
      </c>
    </row>
    <row r="606">
      <c r="A606" t="inlineStr">
        <is>
          <t>IMB0062717</t>
        </is>
      </c>
      <c r="B606" t="inlineStr">
        <is>
          <t>Ativos de Óleo e Gás - Peregrino</t>
        </is>
      </c>
      <c r="C606" t="inlineStr">
        <is>
          <t>Prio Tigris</t>
        </is>
      </c>
      <c r="D606" t="inlineStr">
        <is>
          <t>Peregrino</t>
        </is>
      </c>
      <c r="E606" t="inlineStr">
        <is>
          <t>Poço injetor - perfuração</t>
        </is>
      </c>
      <c r="F606" t="inlineStr">
        <is>
          <t>Amostral</t>
        </is>
      </c>
      <c r="G606" s="8" t="n">
        <v>71460.05</v>
      </c>
      <c r="H606" s="8" t="n">
        <v>71460.05</v>
      </c>
      <c r="I606" s="8">
        <f>G606-H606</f>
        <v/>
      </c>
      <c r="J606" s="11">
        <f>IF(G606=0,0,MIN(1,I606/G606))</f>
        <v/>
      </c>
    </row>
    <row r="607">
      <c r="A607" t="inlineStr">
        <is>
          <t>IMB0062772</t>
        </is>
      </c>
      <c r="B607" t="inlineStr">
        <is>
          <t>Ativos de Óleo e Gás - Peregrino</t>
        </is>
      </c>
      <c r="C607" t="inlineStr">
        <is>
          <t>Prio Tigris</t>
        </is>
      </c>
      <c r="D607" t="inlineStr">
        <is>
          <t>Peregrino</t>
        </is>
      </c>
      <c r="E607" t="inlineStr">
        <is>
          <t>Linha flexível de produção</t>
        </is>
      </c>
      <c r="F607" t="inlineStr">
        <is>
          <t>Amostral</t>
        </is>
      </c>
      <c r="G607" s="8" t="n">
        <v>21297047.26</v>
      </c>
      <c r="H607" s="8" t="n">
        <v>21297047.26</v>
      </c>
      <c r="I607" s="8">
        <f>G607-H607</f>
        <v/>
      </c>
      <c r="J607" s="11">
        <f>IF(G607=0,0,MIN(1,I607/G607))</f>
        <v/>
      </c>
    </row>
    <row r="608">
      <c r="A608" t="inlineStr">
        <is>
          <t>IMB0062819</t>
        </is>
      </c>
      <c r="B608" t="inlineStr">
        <is>
          <t>Ativos de Óleo e Gás - Peregrino</t>
        </is>
      </c>
      <c r="C608" t="inlineStr">
        <is>
          <t>Prio Tigris</t>
        </is>
      </c>
      <c r="D608" t="inlineStr">
        <is>
          <t>Peregrino</t>
        </is>
      </c>
      <c r="E608" t="inlineStr">
        <is>
          <t>Manifold submarino</t>
        </is>
      </c>
      <c r="F608" t="inlineStr">
        <is>
          <t>Amostral</t>
        </is>
      </c>
      <c r="G608" s="8" t="n">
        <v>979473.85</v>
      </c>
      <c r="H608" s="8" t="n">
        <v>979473.85</v>
      </c>
      <c r="I608" s="8">
        <f>G608-H608</f>
        <v/>
      </c>
      <c r="J608" s="11">
        <f>IF(G608=0,0,MIN(1,I608/G608))</f>
        <v/>
      </c>
    </row>
    <row r="609">
      <c r="A609" t="inlineStr">
        <is>
          <t>IMB0062859</t>
        </is>
      </c>
      <c r="B609" t="inlineStr">
        <is>
          <t>Ativos de Óleo e Gás - Peregrino</t>
        </is>
      </c>
      <c r="C609" t="inlineStr">
        <is>
          <t>Prio Tigris</t>
        </is>
      </c>
      <c r="D609" t="inlineStr">
        <is>
          <t>Peregrino</t>
        </is>
      </c>
      <c r="E609" t="inlineStr">
        <is>
          <t>Jumper submarino</t>
        </is>
      </c>
      <c r="F609" t="inlineStr">
        <is>
          <t>Amostral</t>
        </is>
      </c>
      <c r="G609" s="8" t="n">
        <v>867156.6</v>
      </c>
      <c r="H609" s="8" t="n">
        <v>867156.6</v>
      </c>
      <c r="I609" s="8">
        <f>G609-H609</f>
        <v/>
      </c>
      <c r="J609" s="11">
        <f>IF(G609=0,0,MIN(1,I609/G609))</f>
        <v/>
      </c>
    </row>
    <row r="610">
      <c r="A610" t="inlineStr">
        <is>
          <t>IMB0062931</t>
        </is>
      </c>
      <c r="B610" t="inlineStr">
        <is>
          <t>Ativos de Óleo e Gás - Peregrino</t>
        </is>
      </c>
      <c r="C610" t="inlineStr">
        <is>
          <t>Prio Tigris</t>
        </is>
      </c>
      <c r="D610" t="inlineStr">
        <is>
          <t>Peregrino</t>
        </is>
      </c>
      <c r="E610" t="inlineStr">
        <is>
          <t>Bomba centrífuga submersa (BCS)</t>
        </is>
      </c>
      <c r="F610" t="inlineStr">
        <is>
          <t>Amostral</t>
        </is>
      </c>
      <c r="G610" s="8" t="n">
        <v>12162608.95</v>
      </c>
      <c r="H610" s="8" t="n">
        <v>12162608.95</v>
      </c>
      <c r="I610" s="8">
        <f>G610-H610</f>
        <v/>
      </c>
      <c r="J610" s="11">
        <f>IF(G610=0,0,MIN(1,I610/G610))</f>
        <v/>
      </c>
    </row>
    <row r="611">
      <c r="A611" t="inlineStr">
        <is>
          <t>IMB0062984</t>
        </is>
      </c>
      <c r="B611" t="inlineStr">
        <is>
          <t>Ativos de Óleo e Gás - Peregrino</t>
        </is>
      </c>
      <c r="C611" t="inlineStr">
        <is>
          <t>Prio Tigris</t>
        </is>
      </c>
      <c r="D611" t="inlineStr">
        <is>
          <t>Peregrino</t>
        </is>
      </c>
      <c r="E611" t="inlineStr">
        <is>
          <t>Sistema de gas lift</t>
        </is>
      </c>
      <c r="F611" t="inlineStr">
        <is>
          <t>Amostral</t>
        </is>
      </c>
      <c r="G611" s="8" t="n">
        <v>6399674.23</v>
      </c>
      <c r="H611" s="8" t="n">
        <v>6399674.23</v>
      </c>
      <c r="I611" s="8">
        <f>G611-H611</f>
        <v/>
      </c>
      <c r="J611" s="11">
        <f>IF(G611=0,0,MIN(1,I611/G611))</f>
        <v/>
      </c>
    </row>
    <row r="612">
      <c r="A612" t="inlineStr">
        <is>
          <t>IMB0063031</t>
        </is>
      </c>
      <c r="B612" t="inlineStr">
        <is>
          <t>Ativos de Óleo e Gás - Peregrino</t>
        </is>
      </c>
      <c r="C612" t="inlineStr">
        <is>
          <t>Prio Tigris</t>
        </is>
      </c>
      <c r="D612" t="inlineStr">
        <is>
          <t>Peregrino</t>
        </is>
      </c>
      <c r="E612" t="inlineStr">
        <is>
          <t>Bomba centrífuga submersa (BCS)</t>
        </is>
      </c>
      <c r="F612" t="inlineStr">
        <is>
          <t>Amostral</t>
        </is>
      </c>
      <c r="G612" s="8" t="n">
        <v>1134108.11</v>
      </c>
      <c r="H612" s="8" t="n">
        <v>1134108.11</v>
      </c>
      <c r="I612" s="8">
        <f>G612-H612</f>
        <v/>
      </c>
      <c r="J612" s="11">
        <f>IF(G612=0,0,MIN(1,I612/G612))</f>
        <v/>
      </c>
    </row>
    <row r="613">
      <c r="A613" t="inlineStr">
        <is>
          <t>IMB0063075</t>
        </is>
      </c>
      <c r="B613" t="inlineStr">
        <is>
          <t>Ativos de Óleo e Gás - Peregrino</t>
        </is>
      </c>
      <c r="C613" t="inlineStr">
        <is>
          <t>Prio Tigris</t>
        </is>
      </c>
      <c r="D613" t="inlineStr">
        <is>
          <t>Peregrino</t>
        </is>
      </c>
      <c r="E613" t="inlineStr">
        <is>
          <t>Bomba centrífuga submersa (BCS)</t>
        </is>
      </c>
      <c r="F613" t="inlineStr">
        <is>
          <t>Amostral</t>
        </is>
      </c>
      <c r="G613" s="8" t="n">
        <v>18374710.31</v>
      </c>
      <c r="H613" s="8" t="n">
        <v>18374710.31</v>
      </c>
      <c r="I613" s="8">
        <f>G613-H613</f>
        <v/>
      </c>
      <c r="J613" s="11">
        <f>IF(G613=0,0,MIN(1,I613/G613))</f>
        <v/>
      </c>
    </row>
    <row r="614">
      <c r="A614" t="inlineStr">
        <is>
          <t>IMB0063129</t>
        </is>
      </c>
      <c r="B614" t="inlineStr">
        <is>
          <t>Ativos de Óleo e Gás - Peregrino</t>
        </is>
      </c>
      <c r="C614" t="inlineStr">
        <is>
          <t>Prio Tigris</t>
        </is>
      </c>
      <c r="D614" t="inlineStr">
        <is>
          <t>Peregrino</t>
        </is>
      </c>
      <c r="E614" t="inlineStr">
        <is>
          <t>Bomba centrífuga submersa (BCS)</t>
        </is>
      </c>
      <c r="F614" t="inlineStr">
        <is>
          <t>Amostral</t>
        </is>
      </c>
      <c r="G614" s="8" t="n">
        <v>3346912.93</v>
      </c>
      <c r="H614" s="8" t="n">
        <v>3346912.93</v>
      </c>
      <c r="I614" s="8">
        <f>G614-H614</f>
        <v/>
      </c>
      <c r="J614" s="11">
        <f>IF(G614=0,0,MIN(1,I614/G614))</f>
        <v/>
      </c>
    </row>
    <row r="615">
      <c r="A615" t="inlineStr">
        <is>
          <t>IMB0063203</t>
        </is>
      </c>
      <c r="B615" t="inlineStr">
        <is>
          <t>Ativos de Óleo e Gás - Peregrino</t>
        </is>
      </c>
      <c r="C615" t="inlineStr">
        <is>
          <t>Prio Tigris</t>
        </is>
      </c>
      <c r="D615" t="inlineStr">
        <is>
          <t>Peregrino</t>
        </is>
      </c>
      <c r="E615" t="inlineStr">
        <is>
          <t>Linha flexível de produção</t>
        </is>
      </c>
      <c r="F615" t="inlineStr">
        <is>
          <t>Amostral</t>
        </is>
      </c>
      <c r="G615" s="8" t="n">
        <v>7051330.7</v>
      </c>
      <c r="H615" s="8" t="n">
        <v>7051330.7</v>
      </c>
      <c r="I615" s="8">
        <f>G615-H615</f>
        <v/>
      </c>
      <c r="J615" s="11">
        <f>IF(G615=0,0,MIN(1,I615/G615))</f>
        <v/>
      </c>
    </row>
    <row r="616">
      <c r="A616" t="inlineStr">
        <is>
          <t>IMB0063286</t>
        </is>
      </c>
      <c r="B616" t="inlineStr">
        <is>
          <t>Ativos de Óleo e Gás - Peregrino</t>
        </is>
      </c>
      <c r="C616" t="inlineStr">
        <is>
          <t>Prio Tigris</t>
        </is>
      </c>
      <c r="D616" t="inlineStr">
        <is>
          <t>Peregrino</t>
        </is>
      </c>
      <c r="E616" t="inlineStr">
        <is>
          <t>Poço produtor - completação</t>
        </is>
      </c>
      <c r="F616" t="inlineStr">
        <is>
          <t>Amostral</t>
        </is>
      </c>
      <c r="G616" s="8" t="n">
        <v>341672.66</v>
      </c>
      <c r="H616" s="8" t="n">
        <v>341672.66</v>
      </c>
      <c r="I616" s="8">
        <f>G616-H616</f>
        <v/>
      </c>
      <c r="J616" s="11">
        <f>IF(G616=0,0,MIN(1,I616/G616))</f>
        <v/>
      </c>
    </row>
    <row r="617">
      <c r="A617" t="inlineStr">
        <is>
          <t>IMB0063337</t>
        </is>
      </c>
      <c r="B617" t="inlineStr">
        <is>
          <t>Ativos de Óleo e Gás - Peregrino</t>
        </is>
      </c>
      <c r="C617" t="inlineStr">
        <is>
          <t>Prio Tigris</t>
        </is>
      </c>
      <c r="D617" t="inlineStr">
        <is>
          <t>Peregrino</t>
        </is>
      </c>
      <c r="E617" t="inlineStr">
        <is>
          <t>Árvore de natal molhada (ANM)</t>
        </is>
      </c>
      <c r="F617" t="inlineStr">
        <is>
          <t>Amostral</t>
        </is>
      </c>
      <c r="G617" s="8" t="n">
        <v>8966304.68</v>
      </c>
      <c r="H617" s="8" t="n">
        <v>8966304.68</v>
      </c>
      <c r="I617" s="8">
        <f>G617-H617</f>
        <v/>
      </c>
      <c r="J617" s="11">
        <f>IF(G617=0,0,MIN(1,I617/G617))</f>
        <v/>
      </c>
    </row>
    <row r="618">
      <c r="A618" t="inlineStr">
        <is>
          <t>IMB0063428</t>
        </is>
      </c>
      <c r="B618" t="inlineStr">
        <is>
          <t>Ativos de Óleo e Gás - Peregrino</t>
        </is>
      </c>
      <c r="C618" t="inlineStr">
        <is>
          <t>Prio Tigris</t>
        </is>
      </c>
      <c r="D618" t="inlineStr">
        <is>
          <t>Peregrino</t>
        </is>
      </c>
      <c r="E618" t="inlineStr">
        <is>
          <t>Sistema de gas lift</t>
        </is>
      </c>
      <c r="F618" t="inlineStr">
        <is>
          <t>Amostral</t>
        </is>
      </c>
      <c r="G618" s="8" t="n">
        <v>1441934.79</v>
      </c>
      <c r="H618" s="8" t="n">
        <v>1441934.79</v>
      </c>
      <c r="I618" s="8">
        <f>G618-H618</f>
        <v/>
      </c>
      <c r="J618" s="11">
        <f>IF(G618=0,0,MIN(1,I618/G618))</f>
        <v/>
      </c>
    </row>
    <row r="619">
      <c r="A619" t="inlineStr">
        <is>
          <t>IMB0063516</t>
        </is>
      </c>
      <c r="B619" t="inlineStr">
        <is>
          <t>Ativos de Óleo e Gás - Peregrino</t>
        </is>
      </c>
      <c r="C619" t="inlineStr">
        <is>
          <t>Prio Tigris</t>
        </is>
      </c>
      <c r="D619" t="inlineStr">
        <is>
          <t>Peregrino</t>
        </is>
      </c>
      <c r="E619" t="inlineStr">
        <is>
          <t>Sistema de gas lift</t>
        </is>
      </c>
      <c r="F619" t="inlineStr">
        <is>
          <t>Amostral</t>
        </is>
      </c>
      <c r="G619" s="8" t="n">
        <v>1042942.73</v>
      </c>
      <c r="H619" s="8" t="n">
        <v>1042942.73</v>
      </c>
      <c r="I619" s="8">
        <f>G619-H619</f>
        <v/>
      </c>
      <c r="J619" s="11">
        <f>IF(G619=0,0,MIN(1,I619/G619))</f>
        <v/>
      </c>
    </row>
    <row r="620">
      <c r="A620" t="inlineStr">
        <is>
          <t>IMB0063547</t>
        </is>
      </c>
      <c r="B620" t="inlineStr">
        <is>
          <t>Ativos de Óleo e Gás - Peregrino</t>
        </is>
      </c>
      <c r="C620" t="inlineStr">
        <is>
          <t>Prio Tigris</t>
        </is>
      </c>
      <c r="D620" t="inlineStr">
        <is>
          <t>Peregrino</t>
        </is>
      </c>
      <c r="E620" t="inlineStr">
        <is>
          <t>Sistema de gas lift</t>
        </is>
      </c>
      <c r="F620" t="inlineStr">
        <is>
          <t>Amostral</t>
        </is>
      </c>
      <c r="G620" s="8" t="n">
        <v>556430.08</v>
      </c>
      <c r="H620" s="8" t="n">
        <v>556430.08</v>
      </c>
      <c r="I620" s="8">
        <f>G620-H620</f>
        <v/>
      </c>
      <c r="J620" s="11">
        <f>IF(G620=0,0,MIN(1,I620/G620))</f>
        <v/>
      </c>
    </row>
    <row r="621">
      <c r="A621" t="inlineStr">
        <is>
          <t>IMB0063586</t>
        </is>
      </c>
      <c r="B621" t="inlineStr">
        <is>
          <t>Ativos de Óleo e Gás - Peregrino</t>
        </is>
      </c>
      <c r="C621" t="inlineStr">
        <is>
          <t>Prio Tigris</t>
        </is>
      </c>
      <c r="D621" t="inlineStr">
        <is>
          <t>Peregrino</t>
        </is>
      </c>
      <c r="E621" t="inlineStr">
        <is>
          <t>Poço produtor - completação</t>
        </is>
      </c>
      <c r="F621" t="inlineStr">
        <is>
          <t>Amostral</t>
        </is>
      </c>
      <c r="G621" s="8" t="n">
        <v>736388.8199999999</v>
      </c>
      <c r="H621" s="8" t="n">
        <v>736388.8199999999</v>
      </c>
      <c r="I621" s="8">
        <f>G621-H621</f>
        <v/>
      </c>
      <c r="J621" s="11">
        <f>IF(G621=0,0,MIN(1,I621/G621))</f>
        <v/>
      </c>
    </row>
    <row r="622">
      <c r="A622" t="inlineStr">
        <is>
          <t>IMB0063637</t>
        </is>
      </c>
      <c r="B622" t="inlineStr">
        <is>
          <t>Ativos de Óleo e Gás - Peregrino</t>
        </is>
      </c>
      <c r="C622" t="inlineStr">
        <is>
          <t>Prio Tigris</t>
        </is>
      </c>
      <c r="D622" t="inlineStr">
        <is>
          <t>Peregrino</t>
        </is>
      </c>
      <c r="E622" t="inlineStr">
        <is>
          <t>Manifold submarino</t>
        </is>
      </c>
      <c r="F622" t="inlineStr">
        <is>
          <t>Amostral</t>
        </is>
      </c>
      <c r="G622" s="8" t="n">
        <v>23304359.11</v>
      </c>
      <c r="H622" s="8" t="n">
        <v>23304359.11</v>
      </c>
      <c r="I622" s="8">
        <f>G622-H622</f>
        <v/>
      </c>
      <c r="J622" s="11">
        <f>IF(G622=0,0,MIN(1,I622/G622))</f>
        <v/>
      </c>
    </row>
    <row r="623">
      <c r="A623" t="inlineStr">
        <is>
          <t>IMB0063650</t>
        </is>
      </c>
      <c r="B623" t="inlineStr">
        <is>
          <t>Ativos de Óleo e Gás - Peregrino</t>
        </is>
      </c>
      <c r="C623" t="inlineStr">
        <is>
          <t>Prio Tigris</t>
        </is>
      </c>
      <c r="D623" t="inlineStr">
        <is>
          <t>Peregrino</t>
        </is>
      </c>
      <c r="E623" t="inlineStr">
        <is>
          <t>Equipamento de controle submarino (SCM)</t>
        </is>
      </c>
      <c r="F623" t="inlineStr">
        <is>
          <t>Amostral</t>
        </is>
      </c>
      <c r="G623" s="8" t="n">
        <v>9109608.18</v>
      </c>
      <c r="H623" s="8" t="n">
        <v>9109608.18</v>
      </c>
      <c r="I623" s="8">
        <f>G623-H623</f>
        <v/>
      </c>
      <c r="J623" s="11">
        <f>IF(G623=0,0,MIN(1,I623/G623))</f>
        <v/>
      </c>
    </row>
    <row r="624">
      <c r="A624" t="inlineStr">
        <is>
          <t>IMB0063705</t>
        </is>
      </c>
      <c r="B624" t="inlineStr">
        <is>
          <t>Ativos de Óleo e Gás - Peregrino</t>
        </is>
      </c>
      <c r="C624" t="inlineStr">
        <is>
          <t>Prio Tigris</t>
        </is>
      </c>
      <c r="D624" t="inlineStr">
        <is>
          <t>Peregrino</t>
        </is>
      </c>
      <c r="E624" t="inlineStr">
        <is>
          <t>Árvore de natal molhada (ANM)</t>
        </is>
      </c>
      <c r="F624" t="inlineStr">
        <is>
          <t>Amostral</t>
        </is>
      </c>
      <c r="G624" s="8" t="n">
        <v>137826.1</v>
      </c>
      <c r="H624" s="8" t="n">
        <v>137826.1</v>
      </c>
      <c r="I624" s="8">
        <f>G624-H624</f>
        <v/>
      </c>
      <c r="J624" s="11">
        <f>IF(G624=0,0,MIN(1,I624/G624))</f>
        <v/>
      </c>
    </row>
    <row r="625">
      <c r="A625" t="inlineStr">
        <is>
          <t>IMB0063778</t>
        </is>
      </c>
      <c r="B625" t="inlineStr">
        <is>
          <t>Ativos de Óleo e Gás - Peregrino</t>
        </is>
      </c>
      <c r="C625" t="inlineStr">
        <is>
          <t>Prio Tigris</t>
        </is>
      </c>
      <c r="D625" t="inlineStr">
        <is>
          <t>Peregrino</t>
        </is>
      </c>
      <c r="E625" t="inlineStr">
        <is>
          <t>Equipamento de controle submarino (SCM)</t>
        </is>
      </c>
      <c r="F625" t="inlineStr">
        <is>
          <t>Amostral</t>
        </is>
      </c>
      <c r="G625" s="8" t="n">
        <v>328191.05</v>
      </c>
      <c r="H625" s="8" t="n">
        <v>328191.05</v>
      </c>
      <c r="I625" s="8">
        <f>G625-H625</f>
        <v/>
      </c>
      <c r="J625" s="11">
        <f>IF(G625=0,0,MIN(1,I625/G625))</f>
        <v/>
      </c>
    </row>
    <row r="626">
      <c r="A626" t="inlineStr">
        <is>
          <t>IMB0063872</t>
        </is>
      </c>
      <c r="B626" t="inlineStr">
        <is>
          <t>Ativos de Óleo e Gás - Peregrino</t>
        </is>
      </c>
      <c r="C626" t="inlineStr">
        <is>
          <t>Prio Tigris</t>
        </is>
      </c>
      <c r="D626" t="inlineStr">
        <is>
          <t>Peregrino</t>
        </is>
      </c>
      <c r="E626" t="inlineStr">
        <is>
          <t>Jumper submarino</t>
        </is>
      </c>
      <c r="F626" t="inlineStr">
        <is>
          <t>Amostral</t>
        </is>
      </c>
      <c r="G626" s="8" t="n">
        <v>236018.02</v>
      </c>
      <c r="H626" s="8" t="n">
        <v>236018.02</v>
      </c>
      <c r="I626" s="8">
        <f>G626-H626</f>
        <v/>
      </c>
      <c r="J626" s="11">
        <f>IF(G626=0,0,MIN(1,I626/G626))</f>
        <v/>
      </c>
    </row>
    <row r="627">
      <c r="A627" t="inlineStr">
        <is>
          <t>IMB0063959</t>
        </is>
      </c>
      <c r="B627" t="inlineStr">
        <is>
          <t>Ativos de Óleo e Gás - Peregrino</t>
        </is>
      </c>
      <c r="C627" t="inlineStr">
        <is>
          <t>Prio Tigris</t>
        </is>
      </c>
      <c r="D627" t="inlineStr">
        <is>
          <t>Peregrino</t>
        </is>
      </c>
      <c r="E627" t="inlineStr">
        <is>
          <t>Jumper submarino</t>
        </is>
      </c>
      <c r="F627" t="inlineStr">
        <is>
          <t>Amostral</t>
        </is>
      </c>
      <c r="G627" s="8" t="n">
        <v>2700437.03</v>
      </c>
      <c r="H627" s="8" t="n">
        <v>2700437.03</v>
      </c>
      <c r="I627" s="8">
        <f>G627-H627</f>
        <v/>
      </c>
      <c r="J627" s="11">
        <f>IF(G627=0,0,MIN(1,I627/G627))</f>
        <v/>
      </c>
    </row>
    <row r="628">
      <c r="A628" t="inlineStr">
        <is>
          <t>IMB0064007</t>
        </is>
      </c>
      <c r="B628" t="inlineStr">
        <is>
          <t>Ativos de Óleo e Gás - Peregrino</t>
        </is>
      </c>
      <c r="C628" t="inlineStr">
        <is>
          <t>Prio Tigris</t>
        </is>
      </c>
      <c r="D628" t="inlineStr">
        <is>
          <t>Peregrino</t>
        </is>
      </c>
      <c r="E628" t="inlineStr">
        <is>
          <t>Umbilical eletro-hidráulico</t>
        </is>
      </c>
      <c r="F628" t="inlineStr">
        <is>
          <t>Amostral</t>
        </is>
      </c>
      <c r="G628" s="8" t="n">
        <v>357496.46</v>
      </c>
      <c r="H628" s="8" t="n">
        <v>357496.46</v>
      </c>
      <c r="I628" s="8">
        <f>G628-H628</f>
        <v/>
      </c>
      <c r="J628" s="11">
        <f>IF(G628=0,0,MIN(1,I628/G628))</f>
        <v/>
      </c>
    </row>
    <row r="629">
      <c r="A629" t="inlineStr">
        <is>
          <t>IMB0064135</t>
        </is>
      </c>
      <c r="B629" t="inlineStr">
        <is>
          <t>Ativos de Óleo e Gás - Peregrino</t>
        </is>
      </c>
      <c r="C629" t="inlineStr">
        <is>
          <t>Prio Tigris</t>
        </is>
      </c>
      <c r="D629" t="inlineStr">
        <is>
          <t>Peregrino</t>
        </is>
      </c>
      <c r="E629" t="inlineStr">
        <is>
          <t>Bomba centrífuga submersa (BCS)</t>
        </is>
      </c>
      <c r="F629" t="inlineStr">
        <is>
          <t>Amostral</t>
        </is>
      </c>
      <c r="G629" s="8" t="n">
        <v>426424.54</v>
      </c>
      <c r="H629" s="8" t="n">
        <v>426424.54</v>
      </c>
      <c r="I629" s="8">
        <f>G629-H629</f>
        <v/>
      </c>
      <c r="J629" s="11">
        <f>IF(G629=0,0,MIN(1,I629/G629))</f>
        <v/>
      </c>
    </row>
    <row r="630">
      <c r="A630" t="inlineStr">
        <is>
          <t>IMB0064231</t>
        </is>
      </c>
      <c r="B630" t="inlineStr">
        <is>
          <t>Ativos de Óleo e Gás - Peregrino</t>
        </is>
      </c>
      <c r="C630" t="inlineStr">
        <is>
          <t>Prio Tigris</t>
        </is>
      </c>
      <c r="D630" t="inlineStr">
        <is>
          <t>Peregrino</t>
        </is>
      </c>
      <c r="E630" t="inlineStr">
        <is>
          <t>Duto de exportação de gás</t>
        </is>
      </c>
      <c r="F630" t="inlineStr">
        <is>
          <t>Amostral</t>
        </is>
      </c>
      <c r="G630" s="8" t="n">
        <v>2682988.46</v>
      </c>
      <c r="H630" s="8" t="n">
        <v>2682988.46</v>
      </c>
      <c r="I630" s="8">
        <f>G630-H630</f>
        <v/>
      </c>
      <c r="J630" s="11">
        <f>IF(G630=0,0,MIN(1,I630/G630))</f>
        <v/>
      </c>
    </row>
    <row r="631">
      <c r="A631" t="inlineStr">
        <is>
          <t>IMB0064310</t>
        </is>
      </c>
      <c r="B631" t="inlineStr">
        <is>
          <t>Ativos de Óleo e Gás - Peregrino</t>
        </is>
      </c>
      <c r="C631" t="inlineStr">
        <is>
          <t>Prio Tigris</t>
        </is>
      </c>
      <c r="D631" t="inlineStr">
        <is>
          <t>Peregrino</t>
        </is>
      </c>
      <c r="E631" t="inlineStr">
        <is>
          <t>Linha flexível de produção</t>
        </is>
      </c>
      <c r="F631" t="inlineStr">
        <is>
          <t>Amostral</t>
        </is>
      </c>
      <c r="G631" s="8" t="n">
        <v>825959.84</v>
      </c>
      <c r="H631" s="8" t="n">
        <v>825959.84</v>
      </c>
      <c r="I631" s="8">
        <f>G631-H631</f>
        <v/>
      </c>
      <c r="J631" s="11">
        <f>IF(G631=0,0,MIN(1,I631/G631))</f>
        <v/>
      </c>
    </row>
    <row r="632">
      <c r="A632" t="inlineStr">
        <is>
          <t>IMB0064389</t>
        </is>
      </c>
      <c r="B632" t="inlineStr">
        <is>
          <t>Ativos de Óleo e Gás - Peregrino</t>
        </is>
      </c>
      <c r="C632" t="inlineStr">
        <is>
          <t>Prio Tigris</t>
        </is>
      </c>
      <c r="D632" t="inlineStr">
        <is>
          <t>Peregrino</t>
        </is>
      </c>
      <c r="E632" t="inlineStr">
        <is>
          <t>Sistema de gas lift</t>
        </is>
      </c>
      <c r="F632" t="inlineStr">
        <is>
          <t>Amostral</t>
        </is>
      </c>
      <c r="G632" s="8" t="n">
        <v>4015965.23</v>
      </c>
      <c r="H632" s="8" t="n">
        <v>4015965.23</v>
      </c>
      <c r="I632" s="8">
        <f>G632-H632</f>
        <v/>
      </c>
      <c r="J632" s="11">
        <f>IF(G632=0,0,MIN(1,I632/G632))</f>
        <v/>
      </c>
    </row>
    <row r="633">
      <c r="A633" t="inlineStr">
        <is>
          <t>IMB0064472</t>
        </is>
      </c>
      <c r="B633" t="inlineStr">
        <is>
          <t>Ativos de Óleo e Gás - Peregrino</t>
        </is>
      </c>
      <c r="C633" t="inlineStr">
        <is>
          <t>Prio Tigris</t>
        </is>
      </c>
      <c r="D633" t="inlineStr">
        <is>
          <t>Peregrino</t>
        </is>
      </c>
      <c r="E633" t="inlineStr">
        <is>
          <t>Sistema de gas lift</t>
        </is>
      </c>
      <c r="F633" t="inlineStr">
        <is>
          <t>Amostral</t>
        </is>
      </c>
      <c r="G633" s="8" t="n">
        <v>75437.05</v>
      </c>
      <c r="H633" s="8" t="n">
        <v>75437.05</v>
      </c>
      <c r="I633" s="8">
        <f>G633-H633</f>
        <v/>
      </c>
      <c r="J633" s="11">
        <f>IF(G633=0,0,MIN(1,I633/G633))</f>
        <v/>
      </c>
    </row>
    <row r="634">
      <c r="A634" t="inlineStr">
        <is>
          <t>IMB0064556</t>
        </is>
      </c>
      <c r="B634" t="inlineStr">
        <is>
          <t>Ativos de Óleo e Gás - Peregrino</t>
        </is>
      </c>
      <c r="C634" t="inlineStr">
        <is>
          <t>Prio Tigris</t>
        </is>
      </c>
      <c r="D634" t="inlineStr">
        <is>
          <t>Peregrino</t>
        </is>
      </c>
      <c r="E634" t="inlineStr">
        <is>
          <t>Custo de abandono capitalizado (ARO)</t>
        </is>
      </c>
      <c r="F634" t="inlineStr">
        <is>
          <t>Amostral</t>
        </is>
      </c>
      <c r="G634" s="8" t="n">
        <v>5370180.62</v>
      </c>
      <c r="H634" s="8" t="n">
        <v>5370180.62</v>
      </c>
      <c r="I634" s="8">
        <f>G634-H634</f>
        <v/>
      </c>
      <c r="J634" s="11">
        <f>IF(G634=0,0,MIN(1,I634/G634))</f>
        <v/>
      </c>
    </row>
    <row r="635">
      <c r="A635" t="inlineStr">
        <is>
          <t>IMB0064626</t>
        </is>
      </c>
      <c r="B635" t="inlineStr">
        <is>
          <t>Ativos de Óleo e Gás - Peregrino</t>
        </is>
      </c>
      <c r="C635" t="inlineStr">
        <is>
          <t>Prio Tigris</t>
        </is>
      </c>
      <c r="D635" t="inlineStr">
        <is>
          <t>Peregrino</t>
        </is>
      </c>
      <c r="E635" t="inlineStr">
        <is>
          <t>Riser flexível</t>
        </is>
      </c>
      <c r="F635" t="inlineStr">
        <is>
          <t>Amostral</t>
        </is>
      </c>
      <c r="G635" s="8" t="n">
        <v>2912183.28</v>
      </c>
      <c r="H635" s="8" t="n">
        <v>2912183.28</v>
      </c>
      <c r="I635" s="8">
        <f>G635-H635</f>
        <v/>
      </c>
      <c r="J635" s="11">
        <f>IF(G635=0,0,MIN(1,I635/G635))</f>
        <v/>
      </c>
    </row>
    <row r="636">
      <c r="A636" t="inlineStr">
        <is>
          <t>IMB0064740</t>
        </is>
      </c>
      <c r="B636" t="inlineStr">
        <is>
          <t>Ativos de Óleo e Gás - Peregrino</t>
        </is>
      </c>
      <c r="C636" t="inlineStr">
        <is>
          <t>Prio Tigris</t>
        </is>
      </c>
      <c r="D636" t="inlineStr">
        <is>
          <t>Peregrino</t>
        </is>
      </c>
      <c r="E636" t="inlineStr">
        <is>
          <t>Jumper submarino</t>
        </is>
      </c>
      <c r="F636" t="inlineStr">
        <is>
          <t>Amostral</t>
        </is>
      </c>
      <c r="G636" s="8" t="n">
        <v>27668.61</v>
      </c>
      <c r="H636" s="8" t="n">
        <v>27668.61</v>
      </c>
      <c r="I636" s="8">
        <f>G636-H636</f>
        <v/>
      </c>
      <c r="J636" s="11">
        <f>IF(G636=0,0,MIN(1,I636/G636))</f>
        <v/>
      </c>
    </row>
    <row r="637">
      <c r="A637" t="inlineStr">
        <is>
          <t>IMB0064842</t>
        </is>
      </c>
      <c r="B637" t="inlineStr">
        <is>
          <t>Ativos de Óleo e Gás - Peregrino</t>
        </is>
      </c>
      <c r="C637" t="inlineStr">
        <is>
          <t>Prio Tigris</t>
        </is>
      </c>
      <c r="D637" t="inlineStr">
        <is>
          <t>Peregrino</t>
        </is>
      </c>
      <c r="E637" t="inlineStr">
        <is>
          <t>Jumper submarino</t>
        </is>
      </c>
      <c r="F637" t="inlineStr">
        <is>
          <t>Amostral</t>
        </is>
      </c>
      <c r="G637" s="8" t="n">
        <v>455345.76</v>
      </c>
      <c r="H637" s="8" t="n">
        <v>455345.76</v>
      </c>
      <c r="I637" s="8">
        <f>G637-H637</f>
        <v/>
      </c>
      <c r="J637" s="11">
        <f>IF(G637=0,0,MIN(1,I637/G637))</f>
        <v/>
      </c>
    </row>
    <row r="638">
      <c r="A638" t="inlineStr">
        <is>
          <t>IMB0064905</t>
        </is>
      </c>
      <c r="B638" t="inlineStr">
        <is>
          <t>Ativos de Óleo e Gás - Peregrino</t>
        </is>
      </c>
      <c r="C638" t="inlineStr">
        <is>
          <t>Prio Tigris</t>
        </is>
      </c>
      <c r="D638" t="inlineStr">
        <is>
          <t>Peregrino</t>
        </is>
      </c>
      <c r="E638" t="inlineStr">
        <is>
          <t>Linha flexível de produção</t>
        </is>
      </c>
      <c r="F638" t="inlineStr">
        <is>
          <t>Amostral</t>
        </is>
      </c>
      <c r="G638" s="8" t="n">
        <v>10726298.8</v>
      </c>
      <c r="H638" s="8" t="n">
        <v>10726298.8</v>
      </c>
      <c r="I638" s="8">
        <f>G638-H638</f>
        <v/>
      </c>
      <c r="J638" s="11">
        <f>IF(G638=0,0,MIN(1,I638/G638))</f>
        <v/>
      </c>
    </row>
    <row r="639">
      <c r="A639" t="inlineStr">
        <is>
          <t>IMB0064949</t>
        </is>
      </c>
      <c r="B639" t="inlineStr">
        <is>
          <t>Ativos de Óleo e Gás - Peregrino</t>
        </is>
      </c>
      <c r="C639" t="inlineStr">
        <is>
          <t>Prio Tigris</t>
        </is>
      </c>
      <c r="D639" t="inlineStr">
        <is>
          <t>Peregrino</t>
        </is>
      </c>
      <c r="E639" t="inlineStr">
        <is>
          <t>Jumper submarino</t>
        </is>
      </c>
      <c r="F639" t="inlineStr">
        <is>
          <t>Amostral</t>
        </is>
      </c>
      <c r="G639" s="8" t="n">
        <v>1779629.66</v>
      </c>
      <c r="H639" s="8" t="n">
        <v>1779629.66</v>
      </c>
      <c r="I639" s="8">
        <f>G639-H639</f>
        <v/>
      </c>
      <c r="J639" s="11">
        <f>IF(G639=0,0,MIN(1,I639/G639))</f>
        <v/>
      </c>
    </row>
    <row r="640">
      <c r="A640" t="inlineStr">
        <is>
          <t>IMB0065028</t>
        </is>
      </c>
      <c r="B640" t="inlineStr">
        <is>
          <t>Ativos de Óleo e Gás - Peregrino</t>
        </is>
      </c>
      <c r="C640" t="inlineStr">
        <is>
          <t>Prio Tigris</t>
        </is>
      </c>
      <c r="D640" t="inlineStr">
        <is>
          <t>Peregrino</t>
        </is>
      </c>
      <c r="E640" t="inlineStr">
        <is>
          <t>Poço produtor - completação</t>
        </is>
      </c>
      <c r="F640" t="inlineStr">
        <is>
          <t>Amostral</t>
        </is>
      </c>
      <c r="G640" s="8" t="n">
        <v>15991.92</v>
      </c>
      <c r="H640" s="8" t="n">
        <v>15991.92</v>
      </c>
      <c r="I640" s="8">
        <f>G640-H640</f>
        <v/>
      </c>
      <c r="J640" s="11">
        <f>IF(G640=0,0,MIN(1,I640/G640))</f>
        <v/>
      </c>
    </row>
    <row r="641">
      <c r="A641" t="inlineStr">
        <is>
          <t>IMB0065106</t>
        </is>
      </c>
      <c r="B641" t="inlineStr">
        <is>
          <t>Ativos de Óleo e Gás - Peregrino</t>
        </is>
      </c>
      <c r="C641" t="inlineStr">
        <is>
          <t>Prio Tigris</t>
        </is>
      </c>
      <c r="D641" t="inlineStr">
        <is>
          <t>Peregrino</t>
        </is>
      </c>
      <c r="E641" t="inlineStr">
        <is>
          <t>Custo de abandono capitalizado (ARO)</t>
        </is>
      </c>
      <c r="F641" t="inlineStr">
        <is>
          <t>Amostral</t>
        </is>
      </c>
      <c r="G641" s="8" t="n">
        <v>530404.98</v>
      </c>
      <c r="H641" s="8" t="n">
        <v>530404.98</v>
      </c>
      <c r="I641" s="8">
        <f>G641-H641</f>
        <v/>
      </c>
      <c r="J641" s="11">
        <f>IF(G641=0,0,MIN(1,I641/G641))</f>
        <v/>
      </c>
    </row>
    <row r="642">
      <c r="A642" t="inlineStr">
        <is>
          <t>IMB0065183</t>
        </is>
      </c>
      <c r="B642" t="inlineStr">
        <is>
          <t>Ativos de Óleo e Gás - Peregrino</t>
        </is>
      </c>
      <c r="C642" t="inlineStr">
        <is>
          <t>Prio Tigris</t>
        </is>
      </c>
      <c r="D642" t="inlineStr">
        <is>
          <t>Peregrino</t>
        </is>
      </c>
      <c r="E642" t="inlineStr">
        <is>
          <t>Bomba centrífuga submersa (BCS)</t>
        </is>
      </c>
      <c r="F642" t="inlineStr">
        <is>
          <t>Amostral</t>
        </is>
      </c>
      <c r="G642" s="8" t="n">
        <v>5561275.55</v>
      </c>
      <c r="H642" s="8" t="n">
        <v>5561275.55</v>
      </c>
      <c r="I642" s="8">
        <f>G642-H642</f>
        <v/>
      </c>
      <c r="J642" s="11">
        <f>IF(G642=0,0,MIN(1,I642/G642))</f>
        <v/>
      </c>
    </row>
    <row r="643">
      <c r="A643" t="inlineStr">
        <is>
          <t>IMB0065274</t>
        </is>
      </c>
      <c r="B643" t="inlineStr">
        <is>
          <t>Ativos de Óleo e Gás - Peregrino</t>
        </is>
      </c>
      <c r="C643" t="inlineStr">
        <is>
          <t>Prio Tigris</t>
        </is>
      </c>
      <c r="D643" t="inlineStr">
        <is>
          <t>Peregrino</t>
        </is>
      </c>
      <c r="E643" t="inlineStr">
        <is>
          <t>Equipamento de controle submarino (SCM)</t>
        </is>
      </c>
      <c r="F643" t="inlineStr">
        <is>
          <t>Amostral</t>
        </is>
      </c>
      <c r="G643" s="8" t="n">
        <v>1305259.82</v>
      </c>
      <c r="H643" s="8" t="n">
        <v>1305259.82</v>
      </c>
      <c r="I643" s="8">
        <f>G643-H643</f>
        <v/>
      </c>
      <c r="J643" s="11">
        <f>IF(G643=0,0,MIN(1,I643/G643))</f>
        <v/>
      </c>
    </row>
    <row r="644">
      <c r="A644" t="inlineStr">
        <is>
          <t>IMB0065331</t>
        </is>
      </c>
      <c r="B644" t="inlineStr">
        <is>
          <t>Ativos de Óleo e Gás - Peregrino</t>
        </is>
      </c>
      <c r="C644" t="inlineStr">
        <is>
          <t>Prio Tigris</t>
        </is>
      </c>
      <c r="D644" t="inlineStr">
        <is>
          <t>Peregrino</t>
        </is>
      </c>
      <c r="E644" t="inlineStr">
        <is>
          <t>Linha flexível de produção</t>
        </is>
      </c>
      <c r="F644" t="inlineStr">
        <is>
          <t>Amostral</t>
        </is>
      </c>
      <c r="G644" s="8" t="n">
        <v>5584531.45</v>
      </c>
      <c r="H644" s="8" t="n">
        <v>5584531.45</v>
      </c>
      <c r="I644" s="8">
        <f>G644-H644</f>
        <v/>
      </c>
      <c r="J644" s="11">
        <f>IF(G644=0,0,MIN(1,I644/G644))</f>
        <v/>
      </c>
    </row>
    <row r="645">
      <c r="A645" t="inlineStr">
        <is>
          <t>IMB0065417</t>
        </is>
      </c>
      <c r="B645" t="inlineStr">
        <is>
          <t>Ativos de Óleo e Gás - Peregrino</t>
        </is>
      </c>
      <c r="C645" t="inlineStr">
        <is>
          <t>Prio Tigris</t>
        </is>
      </c>
      <c r="D645" t="inlineStr">
        <is>
          <t>Peregrino</t>
        </is>
      </c>
      <c r="E645" t="inlineStr">
        <is>
          <t>Poço produtor - completação</t>
        </is>
      </c>
      <c r="F645" t="inlineStr">
        <is>
          <t>Amostral</t>
        </is>
      </c>
      <c r="G645" s="8" t="n">
        <v>87138.47</v>
      </c>
      <c r="H645" s="8" t="n">
        <v>87138.47</v>
      </c>
      <c r="I645" s="8">
        <f>G645-H645</f>
        <v/>
      </c>
      <c r="J645" s="11">
        <f>IF(G645=0,0,MIN(1,I645/G645))</f>
        <v/>
      </c>
    </row>
    <row r="646">
      <c r="A646" t="inlineStr">
        <is>
          <t>IMB0065475</t>
        </is>
      </c>
      <c r="B646" t="inlineStr">
        <is>
          <t>Ativos de Óleo e Gás - Peregrino</t>
        </is>
      </c>
      <c r="C646" t="inlineStr">
        <is>
          <t>Prio Tigris</t>
        </is>
      </c>
      <c r="D646" t="inlineStr">
        <is>
          <t>Peregrino</t>
        </is>
      </c>
      <c r="E646" t="inlineStr">
        <is>
          <t>Poço injetor - perfuração</t>
        </is>
      </c>
      <c r="F646" t="inlineStr">
        <is>
          <t>Amostral</t>
        </is>
      </c>
      <c r="G646" s="8" t="n">
        <v>196556.43</v>
      </c>
      <c r="H646" s="8" t="n">
        <v>196556.43</v>
      </c>
      <c r="I646" s="8">
        <f>G646-H646</f>
        <v/>
      </c>
      <c r="J646" s="11">
        <f>IF(G646=0,0,MIN(1,I646/G646))</f>
        <v/>
      </c>
    </row>
    <row r="647">
      <c r="A647" t="inlineStr">
        <is>
          <t>IMB0065519</t>
        </is>
      </c>
      <c r="B647" t="inlineStr">
        <is>
          <t>Ativos de Óleo e Gás - Peregrino</t>
        </is>
      </c>
      <c r="C647" t="inlineStr">
        <is>
          <t>Prio Tigris</t>
        </is>
      </c>
      <c r="D647" t="inlineStr">
        <is>
          <t>Peregrino</t>
        </is>
      </c>
      <c r="E647" t="inlineStr">
        <is>
          <t>Equipamento de controle submarino (SCM)</t>
        </is>
      </c>
      <c r="F647" t="inlineStr">
        <is>
          <t>Amostral</t>
        </is>
      </c>
      <c r="G647" s="8" t="n">
        <v>373330.47</v>
      </c>
      <c r="H647" s="8" t="n">
        <v>373330.47</v>
      </c>
      <c r="I647" s="8">
        <f>G647-H647</f>
        <v/>
      </c>
      <c r="J647" s="11">
        <f>IF(G647=0,0,MIN(1,I647/G647))</f>
        <v/>
      </c>
    </row>
    <row r="648">
      <c r="A648" t="inlineStr">
        <is>
          <t>IMB0065617</t>
        </is>
      </c>
      <c r="B648" t="inlineStr">
        <is>
          <t>Ativos de Óleo e Gás - Peregrino</t>
        </is>
      </c>
      <c r="C648" t="inlineStr">
        <is>
          <t>Prio Tigris</t>
        </is>
      </c>
      <c r="D648" t="inlineStr">
        <is>
          <t>Peregrino</t>
        </is>
      </c>
      <c r="E648" t="inlineStr">
        <is>
          <t>Poço produtor - perfuração</t>
        </is>
      </c>
      <c r="F648" t="inlineStr">
        <is>
          <t>Amostral</t>
        </is>
      </c>
      <c r="G648" s="8" t="n">
        <v>73140.53</v>
      </c>
      <c r="H648" s="8" t="n">
        <v>73140.53</v>
      </c>
      <c r="I648" s="8">
        <f>G648-H648</f>
        <v/>
      </c>
      <c r="J648" s="11">
        <f>IF(G648=0,0,MIN(1,I648/G648))</f>
        <v/>
      </c>
    </row>
    <row r="649">
      <c r="A649" t="inlineStr">
        <is>
          <t>IMB0065699</t>
        </is>
      </c>
      <c r="B649" t="inlineStr">
        <is>
          <t>Ativos de Óleo e Gás - Peregrino</t>
        </is>
      </c>
      <c r="C649" t="inlineStr">
        <is>
          <t>Prio Tigris</t>
        </is>
      </c>
      <c r="D649" t="inlineStr">
        <is>
          <t>Peregrino</t>
        </is>
      </c>
      <c r="E649" t="inlineStr">
        <is>
          <t>Equipamento de controle submarino (SCM)</t>
        </is>
      </c>
      <c r="F649" t="inlineStr">
        <is>
          <t>Topo (&gt;= intervalo)</t>
        </is>
      </c>
      <c r="G649" s="8" t="n">
        <v>33457143.57</v>
      </c>
      <c r="H649" s="8" t="n">
        <v>33457143.57</v>
      </c>
      <c r="I649" s="8">
        <f>G649-H649</f>
        <v/>
      </c>
      <c r="J649" s="11">
        <f>IF(G649=0,0,MIN(1,I649/G649))</f>
        <v/>
      </c>
    </row>
    <row r="650">
      <c r="A650" t="inlineStr">
        <is>
          <t>IMB0065768</t>
        </is>
      </c>
      <c r="B650" t="inlineStr">
        <is>
          <t>Ativos de Óleo e Gás - Peregrino</t>
        </is>
      </c>
      <c r="C650" t="inlineStr">
        <is>
          <t>Prio Tigris</t>
        </is>
      </c>
      <c r="D650" t="inlineStr">
        <is>
          <t>Peregrino</t>
        </is>
      </c>
      <c r="E650" t="inlineStr">
        <is>
          <t>Poço produtor - completação</t>
        </is>
      </c>
      <c r="F650" t="inlineStr">
        <is>
          <t>Amostral</t>
        </is>
      </c>
      <c r="G650" s="8" t="n">
        <v>3540316.33</v>
      </c>
      <c r="H650" s="8" t="n">
        <v>3540316.33</v>
      </c>
      <c r="I650" s="8">
        <f>G650-H650</f>
        <v/>
      </c>
      <c r="J650" s="11">
        <f>IF(G650=0,0,MIN(1,I650/G650))</f>
        <v/>
      </c>
    </row>
    <row r="651">
      <c r="A651" t="inlineStr">
        <is>
          <t>IMB0065830</t>
        </is>
      </c>
      <c r="B651" t="inlineStr">
        <is>
          <t>Ativos de Óleo e Gás - Peregrino</t>
        </is>
      </c>
      <c r="C651" t="inlineStr">
        <is>
          <t>Prio Tigris</t>
        </is>
      </c>
      <c r="D651" t="inlineStr">
        <is>
          <t>Peregrino</t>
        </is>
      </c>
      <c r="E651" t="inlineStr">
        <is>
          <t>Poço produtor - completação</t>
        </is>
      </c>
      <c r="F651" t="inlineStr">
        <is>
          <t>Amostral</t>
        </is>
      </c>
      <c r="G651" s="8" t="n">
        <v>465447.27</v>
      </c>
      <c r="H651" s="8" t="n">
        <v>465447.27</v>
      </c>
      <c r="I651" s="8">
        <f>G651-H651</f>
        <v/>
      </c>
      <c r="J651" s="11">
        <f>IF(G651=0,0,MIN(1,I651/G651))</f>
        <v/>
      </c>
    </row>
    <row r="652">
      <c r="A652" t="inlineStr">
        <is>
          <t>IMB0065930</t>
        </is>
      </c>
      <c r="B652" t="inlineStr">
        <is>
          <t>Ativos de Óleo e Gás - Peregrino</t>
        </is>
      </c>
      <c r="C652" t="inlineStr">
        <is>
          <t>Prio Tigris</t>
        </is>
      </c>
      <c r="D652" t="inlineStr">
        <is>
          <t>Peregrino</t>
        </is>
      </c>
      <c r="E652" t="inlineStr">
        <is>
          <t>Equipamento de controle submarino (SCM)</t>
        </is>
      </c>
      <c r="F652" t="inlineStr">
        <is>
          <t>Amostral</t>
        </is>
      </c>
      <c r="G652" s="8" t="n">
        <v>1432749.25</v>
      </c>
      <c r="H652" s="8" t="n">
        <v>1432749.25</v>
      </c>
      <c r="I652" s="8">
        <f>G652-H652</f>
        <v/>
      </c>
      <c r="J652" s="11">
        <f>IF(G652=0,0,MIN(1,I652/G652))</f>
        <v/>
      </c>
    </row>
    <row r="653">
      <c r="A653" t="inlineStr">
        <is>
          <t>IMB0065972</t>
        </is>
      </c>
      <c r="B653" t="inlineStr">
        <is>
          <t>Ativos de Óleo e Gás - Peregrino</t>
        </is>
      </c>
      <c r="C653" t="inlineStr">
        <is>
          <t>Prio Tigris</t>
        </is>
      </c>
      <c r="D653" t="inlineStr">
        <is>
          <t>Peregrino</t>
        </is>
      </c>
      <c r="E653" t="inlineStr">
        <is>
          <t>Poço injetor - perfuração</t>
        </is>
      </c>
      <c r="F653" t="inlineStr">
        <is>
          <t>Amostral</t>
        </is>
      </c>
      <c r="G653" s="8" t="n">
        <v>23309454.25</v>
      </c>
      <c r="H653" s="8" t="n">
        <v>23309454.25</v>
      </c>
      <c r="I653" s="8">
        <f>G653-H653</f>
        <v/>
      </c>
      <c r="J653" s="11">
        <f>IF(G653=0,0,MIN(1,I653/G653))</f>
        <v/>
      </c>
    </row>
    <row r="654">
      <c r="A654" t="inlineStr">
        <is>
          <t>IMB0066014</t>
        </is>
      </c>
      <c r="B654" t="inlineStr">
        <is>
          <t>Ativos de Óleo e Gás - Peregrino</t>
        </is>
      </c>
      <c r="C654" t="inlineStr">
        <is>
          <t>Prio Tigris</t>
        </is>
      </c>
      <c r="D654" t="inlineStr">
        <is>
          <t>Peregrino</t>
        </is>
      </c>
      <c r="E654" t="inlineStr">
        <is>
          <t>Sistema de gas lift</t>
        </is>
      </c>
      <c r="F654" t="inlineStr">
        <is>
          <t>Amostral</t>
        </is>
      </c>
      <c r="G654" s="8" t="n">
        <v>1477262.05</v>
      </c>
      <c r="H654" s="8" t="n">
        <v>1477262.05</v>
      </c>
      <c r="I654" s="8">
        <f>G654-H654</f>
        <v/>
      </c>
      <c r="J654" s="11">
        <f>IF(G654=0,0,MIN(1,I654/G654))</f>
        <v/>
      </c>
    </row>
    <row r="655">
      <c r="A655" t="inlineStr">
        <is>
          <t>IMB0066085</t>
        </is>
      </c>
      <c r="B655" t="inlineStr">
        <is>
          <t>Ativos de Óleo e Gás - Peregrino</t>
        </is>
      </c>
      <c r="C655" t="inlineStr">
        <is>
          <t>Prio Tigris</t>
        </is>
      </c>
      <c r="D655" t="inlineStr">
        <is>
          <t>Peregrino</t>
        </is>
      </c>
      <c r="E655" t="inlineStr">
        <is>
          <t>Duto de exportação de gás</t>
        </is>
      </c>
      <c r="F655" t="inlineStr">
        <is>
          <t>Amostral</t>
        </is>
      </c>
      <c r="G655" s="8" t="n">
        <v>1146888.87</v>
      </c>
      <c r="H655" s="8" t="n">
        <v>1146888.87</v>
      </c>
      <c r="I655" s="8">
        <f>G655-H655</f>
        <v/>
      </c>
      <c r="J655" s="11">
        <f>IF(G655=0,0,MIN(1,I655/G655))</f>
        <v/>
      </c>
    </row>
    <row r="656">
      <c r="A656" t="inlineStr">
        <is>
          <t>IMB0066182</t>
        </is>
      </c>
      <c r="B656" t="inlineStr">
        <is>
          <t>Ativos de Óleo e Gás - Peregrino</t>
        </is>
      </c>
      <c r="C656" t="inlineStr">
        <is>
          <t>Prio Tigris</t>
        </is>
      </c>
      <c r="D656" t="inlineStr">
        <is>
          <t>Peregrino</t>
        </is>
      </c>
      <c r="E656" t="inlineStr">
        <is>
          <t>Manifold submarino</t>
        </is>
      </c>
      <c r="F656" t="inlineStr">
        <is>
          <t>Amostral</t>
        </is>
      </c>
      <c r="G656" s="8" t="n">
        <v>2041305.38</v>
      </c>
      <c r="H656" s="8" t="n">
        <v>2041305.38</v>
      </c>
      <c r="I656" s="8">
        <f>G656-H656</f>
        <v/>
      </c>
      <c r="J656" s="11">
        <f>IF(G656=0,0,MIN(1,I656/G656))</f>
        <v/>
      </c>
    </row>
    <row r="657">
      <c r="A657" t="inlineStr">
        <is>
          <t>IMB0066213</t>
        </is>
      </c>
      <c r="B657" t="inlineStr">
        <is>
          <t>Ativos de Óleo e Gás - Peregrino</t>
        </is>
      </c>
      <c r="C657" t="inlineStr">
        <is>
          <t>Prio Tigris</t>
        </is>
      </c>
      <c r="D657" t="inlineStr">
        <is>
          <t>Peregrino</t>
        </is>
      </c>
      <c r="E657" t="inlineStr">
        <is>
          <t>Sistema de gas lift</t>
        </is>
      </c>
      <c r="F657" t="inlineStr">
        <is>
          <t>Amostral</t>
        </is>
      </c>
      <c r="G657" s="8" t="n">
        <v>1960825.69</v>
      </c>
      <c r="H657" s="8" t="n">
        <v>1960825.69</v>
      </c>
      <c r="I657" s="8">
        <f>G657-H657</f>
        <v/>
      </c>
      <c r="J657" s="11">
        <f>IF(G657=0,0,MIN(1,I657/G657))</f>
        <v/>
      </c>
    </row>
    <row r="658">
      <c r="A658" t="inlineStr">
        <is>
          <t>IMB0066295</t>
        </is>
      </c>
      <c r="B658" t="inlineStr">
        <is>
          <t>Ativos de Óleo e Gás - Peregrino</t>
        </is>
      </c>
      <c r="C658" t="inlineStr">
        <is>
          <t>Prio Tigris</t>
        </is>
      </c>
      <c r="D658" t="inlineStr">
        <is>
          <t>Peregrino</t>
        </is>
      </c>
      <c r="E658" t="inlineStr">
        <is>
          <t>Jumper submarino</t>
        </is>
      </c>
      <c r="F658" t="inlineStr">
        <is>
          <t>Amostral</t>
        </is>
      </c>
      <c r="G658" s="8" t="n">
        <v>894877.9399999999</v>
      </c>
      <c r="H658" s="8" t="n">
        <v>894877.9399999999</v>
      </c>
      <c r="I658" s="8">
        <f>G658-H658</f>
        <v/>
      </c>
      <c r="J658" s="11">
        <f>IF(G658=0,0,MIN(1,I658/G658))</f>
        <v/>
      </c>
    </row>
    <row r="659">
      <c r="A659" t="inlineStr">
        <is>
          <t>IMB0066350</t>
        </is>
      </c>
      <c r="B659" t="inlineStr">
        <is>
          <t>Ativos de Óleo e Gás - Peregrino</t>
        </is>
      </c>
      <c r="C659" t="inlineStr">
        <is>
          <t>Prio Tigris</t>
        </is>
      </c>
      <c r="D659" t="inlineStr">
        <is>
          <t>Peregrino</t>
        </is>
      </c>
      <c r="E659" t="inlineStr">
        <is>
          <t>Jumper submarino</t>
        </is>
      </c>
      <c r="F659" t="inlineStr">
        <is>
          <t>Amostral</t>
        </is>
      </c>
      <c r="G659" s="8" t="n">
        <v>12564456.89</v>
      </c>
      <c r="H659" s="8" t="n">
        <v>12564456.89</v>
      </c>
      <c r="I659" s="8">
        <f>G659-H659</f>
        <v/>
      </c>
      <c r="J659" s="11">
        <f>IF(G659=0,0,MIN(1,I659/G659))</f>
        <v/>
      </c>
    </row>
    <row r="660">
      <c r="A660" t="inlineStr">
        <is>
          <t>IMB0066421</t>
        </is>
      </c>
      <c r="B660" t="inlineStr">
        <is>
          <t>Ativos de Óleo e Gás - Peregrino</t>
        </is>
      </c>
      <c r="C660" t="inlineStr">
        <is>
          <t>Prio Tigris</t>
        </is>
      </c>
      <c r="D660" t="inlineStr">
        <is>
          <t>Peregrino</t>
        </is>
      </c>
      <c r="E660" t="inlineStr">
        <is>
          <t>Árvore de natal molhada (ANM)</t>
        </is>
      </c>
      <c r="F660" t="inlineStr">
        <is>
          <t>Amostral</t>
        </is>
      </c>
      <c r="G660" s="8" t="n">
        <v>7569957</v>
      </c>
      <c r="H660" s="8" t="n">
        <v>7569957</v>
      </c>
      <c r="I660" s="8">
        <f>G660-H660</f>
        <v/>
      </c>
      <c r="J660" s="11">
        <f>IF(G660=0,0,MIN(1,I660/G660))</f>
        <v/>
      </c>
    </row>
    <row r="661">
      <c r="A661" t="inlineStr">
        <is>
          <t>IMB0066498</t>
        </is>
      </c>
      <c r="B661" t="inlineStr">
        <is>
          <t>Ativos de Óleo e Gás - Peregrino</t>
        </is>
      </c>
      <c r="C661" t="inlineStr">
        <is>
          <t>Prio Tigris</t>
        </is>
      </c>
      <c r="D661" t="inlineStr">
        <is>
          <t>Peregrino</t>
        </is>
      </c>
      <c r="E661" t="inlineStr">
        <is>
          <t>Árvore de natal molhada (ANM)</t>
        </is>
      </c>
      <c r="F661" t="inlineStr">
        <is>
          <t>Amostral</t>
        </is>
      </c>
      <c r="G661" s="8" t="n">
        <v>498516.06</v>
      </c>
      <c r="H661" s="8" t="n">
        <v>498516.06</v>
      </c>
      <c r="I661" s="8">
        <f>G661-H661</f>
        <v/>
      </c>
      <c r="J661" s="11">
        <f>IF(G661=0,0,MIN(1,I661/G661))</f>
        <v/>
      </c>
    </row>
    <row r="662">
      <c r="A662" t="inlineStr">
        <is>
          <t>IMB0066561</t>
        </is>
      </c>
      <c r="B662" t="inlineStr">
        <is>
          <t>Ativos de Óleo e Gás - Peregrino</t>
        </is>
      </c>
      <c r="C662" t="inlineStr">
        <is>
          <t>Prio Tigris</t>
        </is>
      </c>
      <c r="D662" t="inlineStr">
        <is>
          <t>Peregrino</t>
        </is>
      </c>
      <c r="E662" t="inlineStr">
        <is>
          <t>Poço produtor - perfuração</t>
        </is>
      </c>
      <c r="F662" t="inlineStr">
        <is>
          <t>Amostral</t>
        </is>
      </c>
      <c r="G662" s="8" t="n">
        <v>9705869.640000001</v>
      </c>
      <c r="H662" s="8" t="n">
        <v>9705869.640000001</v>
      </c>
      <c r="I662" s="8">
        <f>G662-H662</f>
        <v/>
      </c>
      <c r="J662" s="11">
        <f>IF(G662=0,0,MIN(1,I662/G662))</f>
        <v/>
      </c>
    </row>
    <row r="663">
      <c r="A663" t="inlineStr">
        <is>
          <t>IMB0066643</t>
        </is>
      </c>
      <c r="B663" t="inlineStr">
        <is>
          <t>Ativos de Óleo e Gás - Peregrino</t>
        </is>
      </c>
      <c r="C663" t="inlineStr">
        <is>
          <t>Prio Tigris</t>
        </is>
      </c>
      <c r="D663" t="inlineStr">
        <is>
          <t>Peregrino</t>
        </is>
      </c>
      <c r="E663" t="inlineStr">
        <is>
          <t>Poço injetor - perfuração</t>
        </is>
      </c>
      <c r="F663" t="inlineStr">
        <is>
          <t>Amostral</t>
        </is>
      </c>
      <c r="G663" s="8" t="n">
        <v>2423708.47</v>
      </c>
      <c r="H663" s="8" t="n">
        <v>2423708.47</v>
      </c>
      <c r="I663" s="8">
        <f>G663-H663</f>
        <v/>
      </c>
      <c r="J663" s="11">
        <f>IF(G663=0,0,MIN(1,I663/G663))</f>
        <v/>
      </c>
    </row>
    <row r="664">
      <c r="A664" t="inlineStr">
        <is>
          <t>IMB0066729</t>
        </is>
      </c>
      <c r="B664" t="inlineStr">
        <is>
          <t>Ativos de Óleo e Gás - Peregrino</t>
        </is>
      </c>
      <c r="C664" t="inlineStr">
        <is>
          <t>Prio Tigris</t>
        </is>
      </c>
      <c r="D664" t="inlineStr">
        <is>
          <t>Peregrino</t>
        </is>
      </c>
      <c r="E664" t="inlineStr">
        <is>
          <t>Riser flexível</t>
        </is>
      </c>
      <c r="F664" t="inlineStr">
        <is>
          <t>Amostral</t>
        </is>
      </c>
      <c r="G664" s="8" t="n">
        <v>1289050.81</v>
      </c>
      <c r="H664" s="8" t="n">
        <v>1289050.81</v>
      </c>
      <c r="I664" s="8">
        <f>G664-H664</f>
        <v/>
      </c>
      <c r="J664" s="11">
        <f>IF(G664=0,0,MIN(1,I664/G664))</f>
        <v/>
      </c>
    </row>
    <row r="665">
      <c r="A665" t="inlineStr">
        <is>
          <t>IMB0066787</t>
        </is>
      </c>
      <c r="B665" t="inlineStr">
        <is>
          <t>Ativos de Óleo e Gás - Peregrino</t>
        </is>
      </c>
      <c r="C665" t="inlineStr">
        <is>
          <t>Prio Tigris</t>
        </is>
      </c>
      <c r="D665" t="inlineStr">
        <is>
          <t>Peregrino</t>
        </is>
      </c>
      <c r="E665" t="inlineStr">
        <is>
          <t>Manifold submarino</t>
        </is>
      </c>
      <c r="F665" t="inlineStr">
        <is>
          <t>Amostral</t>
        </is>
      </c>
      <c r="G665" s="8" t="n">
        <v>586092.05</v>
      </c>
      <c r="H665" s="8" t="n">
        <v>586092.05</v>
      </c>
      <c r="I665" s="8">
        <f>G665-H665</f>
        <v/>
      </c>
      <c r="J665" s="11">
        <f>IF(G665=0,0,MIN(1,I665/G665))</f>
        <v/>
      </c>
    </row>
    <row r="666">
      <c r="A666" t="inlineStr">
        <is>
          <t>IMB0066854</t>
        </is>
      </c>
      <c r="B666" t="inlineStr">
        <is>
          <t>Ativos de Óleo e Gás - Peregrino</t>
        </is>
      </c>
      <c r="C666" t="inlineStr">
        <is>
          <t>Prio Tigris</t>
        </is>
      </c>
      <c r="D666" t="inlineStr">
        <is>
          <t>Peregrino</t>
        </is>
      </c>
      <c r="E666" t="inlineStr">
        <is>
          <t>Linha flexível de produção</t>
        </is>
      </c>
      <c r="F666" t="inlineStr">
        <is>
          <t>Amostral</t>
        </is>
      </c>
      <c r="G666" s="8" t="n">
        <v>3076089.32</v>
      </c>
      <c r="H666" s="8" t="n">
        <v>3076089.32</v>
      </c>
      <c r="I666" s="8">
        <f>G666-H666</f>
        <v/>
      </c>
      <c r="J666" s="11">
        <f>IF(G666=0,0,MIN(1,I666/G666))</f>
        <v/>
      </c>
    </row>
    <row r="667">
      <c r="A667" t="inlineStr">
        <is>
          <t>IMB0066926</t>
        </is>
      </c>
      <c r="B667" t="inlineStr">
        <is>
          <t>Ativos de Óleo e Gás - Peregrino</t>
        </is>
      </c>
      <c r="C667" t="inlineStr">
        <is>
          <t>Prio Tigris</t>
        </is>
      </c>
      <c r="D667" t="inlineStr">
        <is>
          <t>Peregrino</t>
        </is>
      </c>
      <c r="E667" t="inlineStr">
        <is>
          <t>Linha flexível de produção</t>
        </is>
      </c>
      <c r="F667" t="inlineStr">
        <is>
          <t>Amostral</t>
        </is>
      </c>
      <c r="G667" s="8" t="n">
        <v>4983188.74</v>
      </c>
      <c r="H667" s="8" t="n">
        <v>4983188.74</v>
      </c>
      <c r="I667" s="8">
        <f>G667-H667</f>
        <v/>
      </c>
      <c r="J667" s="11">
        <f>IF(G667=0,0,MIN(1,I667/G667))</f>
        <v/>
      </c>
    </row>
    <row r="668">
      <c r="A668" t="inlineStr">
        <is>
          <t>IMB0066975</t>
        </is>
      </c>
      <c r="B668" t="inlineStr">
        <is>
          <t>Ativos de Óleo e Gás - Peregrino</t>
        </is>
      </c>
      <c r="C668" t="inlineStr">
        <is>
          <t>Prio Tigris</t>
        </is>
      </c>
      <c r="D668" t="inlineStr">
        <is>
          <t>Peregrino</t>
        </is>
      </c>
      <c r="E668" t="inlineStr">
        <is>
          <t>Linha flexível de produção</t>
        </is>
      </c>
      <c r="F668" t="inlineStr">
        <is>
          <t>Amostral</t>
        </is>
      </c>
      <c r="G668" s="8" t="n">
        <v>1862429.67</v>
      </c>
      <c r="H668" s="8" t="n">
        <v>1862429.67</v>
      </c>
      <c r="I668" s="8">
        <f>G668-H668</f>
        <v/>
      </c>
      <c r="J668" s="11">
        <f>IF(G668=0,0,MIN(1,I668/G668))</f>
        <v/>
      </c>
    </row>
    <row r="669">
      <c r="A669" t="inlineStr">
        <is>
          <t>IMB0067007</t>
        </is>
      </c>
      <c r="B669" t="inlineStr">
        <is>
          <t>Ativos de Óleo e Gás - Peregrino</t>
        </is>
      </c>
      <c r="C669" t="inlineStr">
        <is>
          <t>Prio Tigris</t>
        </is>
      </c>
      <c r="D669" t="inlineStr">
        <is>
          <t>Peregrino</t>
        </is>
      </c>
      <c r="E669" t="inlineStr">
        <is>
          <t>Manifold submarino</t>
        </is>
      </c>
      <c r="F669" t="inlineStr">
        <is>
          <t>Amostral</t>
        </is>
      </c>
      <c r="G669" s="8" t="n">
        <v>10725369.57</v>
      </c>
      <c r="H669" s="8" t="n">
        <v>10725369.57</v>
      </c>
      <c r="I669" s="8">
        <f>G669-H669</f>
        <v/>
      </c>
      <c r="J669" s="11">
        <f>IF(G669=0,0,MIN(1,I669/G669))</f>
        <v/>
      </c>
    </row>
    <row r="670">
      <c r="A670" t="inlineStr">
        <is>
          <t>IMB0067030</t>
        </is>
      </c>
      <c r="B670" t="inlineStr">
        <is>
          <t>Ativos de Óleo e Gás - Peregrino</t>
        </is>
      </c>
      <c r="C670" t="inlineStr">
        <is>
          <t>Prio Tigris</t>
        </is>
      </c>
      <c r="D670" t="inlineStr">
        <is>
          <t>Peregrino</t>
        </is>
      </c>
      <c r="E670" t="inlineStr">
        <is>
          <t>Poço injetor - perfuração</t>
        </is>
      </c>
      <c r="F670" t="inlineStr">
        <is>
          <t>Amostral</t>
        </is>
      </c>
      <c r="G670" s="8" t="n">
        <v>1164737.57</v>
      </c>
      <c r="H670" s="8" t="n">
        <v>1164737.57</v>
      </c>
      <c r="I670" s="8">
        <f>G670-H670</f>
        <v/>
      </c>
      <c r="J670" s="11">
        <f>IF(G670=0,0,MIN(1,I670/G670))</f>
        <v/>
      </c>
    </row>
    <row r="671">
      <c r="A671" t="inlineStr">
        <is>
          <t>IMB0067052</t>
        </is>
      </c>
      <c r="B671" t="inlineStr">
        <is>
          <t>Ativos de Óleo e Gás - Peregrino</t>
        </is>
      </c>
      <c r="C671" t="inlineStr">
        <is>
          <t>Prio Tigris</t>
        </is>
      </c>
      <c r="D671" t="inlineStr">
        <is>
          <t>Peregrino</t>
        </is>
      </c>
      <c r="E671" t="inlineStr">
        <is>
          <t>Duto de exportação de gás</t>
        </is>
      </c>
      <c r="F671" t="inlineStr">
        <is>
          <t>Amostral</t>
        </is>
      </c>
      <c r="G671" s="8" t="n">
        <v>167008.57</v>
      </c>
      <c r="H671" s="8" t="n">
        <v>167008.57</v>
      </c>
      <c r="I671" s="8">
        <f>G671-H671</f>
        <v/>
      </c>
      <c r="J671" s="11">
        <f>IF(G671=0,0,MIN(1,I671/G671))</f>
        <v/>
      </c>
    </row>
    <row r="672">
      <c r="A672" t="inlineStr">
        <is>
          <t>IMB0067141</t>
        </is>
      </c>
      <c r="B672" t="inlineStr">
        <is>
          <t>Ativos de Óleo e Gás - Peregrino</t>
        </is>
      </c>
      <c r="C672" t="inlineStr">
        <is>
          <t>Prio Tigris</t>
        </is>
      </c>
      <c r="D672" t="inlineStr">
        <is>
          <t>Peregrino</t>
        </is>
      </c>
      <c r="E672" t="inlineStr">
        <is>
          <t>Bomba centrífuga submersa (BCS)</t>
        </is>
      </c>
      <c r="F672" t="inlineStr">
        <is>
          <t>Amostral</t>
        </is>
      </c>
      <c r="G672" s="8" t="n">
        <v>3645906.87</v>
      </c>
      <c r="H672" s="8" t="n">
        <v>3645906.87</v>
      </c>
      <c r="I672" s="8">
        <f>G672-H672</f>
        <v/>
      </c>
      <c r="J672" s="11">
        <f>IF(G672=0,0,MIN(1,I672/G672))</f>
        <v/>
      </c>
    </row>
    <row r="673">
      <c r="A673" t="inlineStr">
        <is>
          <t>IMB0067211</t>
        </is>
      </c>
      <c r="B673" t="inlineStr">
        <is>
          <t>Ativos de Óleo e Gás - Peregrino</t>
        </is>
      </c>
      <c r="C673" t="inlineStr">
        <is>
          <t>Prio Tigris</t>
        </is>
      </c>
      <c r="D673" t="inlineStr">
        <is>
          <t>Peregrino</t>
        </is>
      </c>
      <c r="E673" t="inlineStr">
        <is>
          <t>Poço produtor - perfuração</t>
        </is>
      </c>
      <c r="F673" t="inlineStr">
        <is>
          <t>Amostral</t>
        </is>
      </c>
      <c r="G673" s="8" t="n">
        <v>235316.26</v>
      </c>
      <c r="H673" s="8" t="n">
        <v>235316.26</v>
      </c>
      <c r="I673" s="8">
        <f>G673-H673</f>
        <v/>
      </c>
      <c r="J673" s="11">
        <f>IF(G673=0,0,MIN(1,I673/G673))</f>
        <v/>
      </c>
    </row>
    <row r="674">
      <c r="A674" t="inlineStr">
        <is>
          <t>IMB0067293</t>
        </is>
      </c>
      <c r="B674" t="inlineStr">
        <is>
          <t>Ativos de Óleo e Gás - Peregrino</t>
        </is>
      </c>
      <c r="C674" t="inlineStr">
        <is>
          <t>Prio Tigris</t>
        </is>
      </c>
      <c r="D674" t="inlineStr">
        <is>
          <t>Peregrino</t>
        </is>
      </c>
      <c r="E674" t="inlineStr">
        <is>
          <t>Poço produtor - perfuração</t>
        </is>
      </c>
      <c r="F674" t="inlineStr">
        <is>
          <t>Amostral</t>
        </is>
      </c>
      <c r="G674" s="8" t="n">
        <v>12611418.5</v>
      </c>
      <c r="H674" s="8" t="n">
        <v>12611418.5</v>
      </c>
      <c r="I674" s="8">
        <f>G674-H674</f>
        <v/>
      </c>
      <c r="J674" s="11">
        <f>IF(G674=0,0,MIN(1,I674/G674))</f>
        <v/>
      </c>
    </row>
    <row r="675">
      <c r="A675" t="inlineStr">
        <is>
          <t>IMB0067336</t>
        </is>
      </c>
      <c r="B675" t="inlineStr">
        <is>
          <t>Ativos de Óleo e Gás - Peregrino</t>
        </is>
      </c>
      <c r="C675" t="inlineStr">
        <is>
          <t>Prio Tigris</t>
        </is>
      </c>
      <c r="D675" t="inlineStr">
        <is>
          <t>Peregrino</t>
        </is>
      </c>
      <c r="E675" t="inlineStr">
        <is>
          <t>Jumper submarino</t>
        </is>
      </c>
      <c r="F675" t="inlineStr">
        <is>
          <t>Amostral</t>
        </is>
      </c>
      <c r="G675" s="8" t="n">
        <v>8309391.95</v>
      </c>
      <c r="H675" s="8" t="n">
        <v>8309391.95</v>
      </c>
      <c r="I675" s="8">
        <f>G675-H675</f>
        <v/>
      </c>
      <c r="J675" s="11">
        <f>IF(G675=0,0,MIN(1,I675/G675))</f>
        <v/>
      </c>
    </row>
    <row r="676">
      <c r="A676" t="inlineStr">
        <is>
          <t>IMB0067340</t>
        </is>
      </c>
      <c r="B676" t="inlineStr">
        <is>
          <t>Ativos de Óleo e Gás - Peregrino</t>
        </is>
      </c>
      <c r="C676" t="inlineStr">
        <is>
          <t>Prio Tigris</t>
        </is>
      </c>
      <c r="D676" t="inlineStr">
        <is>
          <t>Peregrino</t>
        </is>
      </c>
      <c r="E676" t="inlineStr">
        <is>
          <t>Árvore de natal molhada (ANM)</t>
        </is>
      </c>
      <c r="F676" t="inlineStr">
        <is>
          <t>Amostral</t>
        </is>
      </c>
      <c r="G676" s="8" t="n">
        <v>24407308.4</v>
      </c>
      <c r="H676" s="8" t="n">
        <v>24407308.4</v>
      </c>
      <c r="I676" s="8">
        <f>G676-H676</f>
        <v/>
      </c>
      <c r="J676" s="11">
        <f>IF(G676=0,0,MIN(1,I676/G676))</f>
        <v/>
      </c>
    </row>
    <row r="677">
      <c r="A677" t="inlineStr">
        <is>
          <t>IMB0067421</t>
        </is>
      </c>
      <c r="B677" t="inlineStr">
        <is>
          <t>Ativos de Óleo e Gás - Peregrino</t>
        </is>
      </c>
      <c r="C677" t="inlineStr">
        <is>
          <t>Prio Tigris</t>
        </is>
      </c>
      <c r="D677" t="inlineStr">
        <is>
          <t>Peregrino</t>
        </is>
      </c>
      <c r="E677" t="inlineStr">
        <is>
          <t>Manifold submarino</t>
        </is>
      </c>
      <c r="F677" t="inlineStr">
        <is>
          <t>Amostral</t>
        </is>
      </c>
      <c r="G677" s="8" t="n">
        <v>3025307.58</v>
      </c>
      <c r="H677" s="8" t="n">
        <v>3025307.58</v>
      </c>
      <c r="I677" s="8">
        <f>G677-H677</f>
        <v/>
      </c>
      <c r="J677" s="11">
        <f>IF(G677=0,0,MIN(1,I677/G677))</f>
        <v/>
      </c>
    </row>
    <row r="678">
      <c r="A678" t="inlineStr">
        <is>
          <t>IMB0067490</t>
        </is>
      </c>
      <c r="B678" t="inlineStr">
        <is>
          <t>Ativos de Óleo e Gás - Peregrino</t>
        </is>
      </c>
      <c r="C678" t="inlineStr">
        <is>
          <t>Prio Tigris</t>
        </is>
      </c>
      <c r="D678" t="inlineStr">
        <is>
          <t>Peregrino</t>
        </is>
      </c>
      <c r="E678" t="inlineStr">
        <is>
          <t>Bomba centrífuga submersa (BCS)</t>
        </is>
      </c>
      <c r="F678" t="inlineStr">
        <is>
          <t>Amostral</t>
        </is>
      </c>
      <c r="G678" s="8" t="n">
        <v>495523</v>
      </c>
      <c r="H678" s="8" t="n">
        <v>495523</v>
      </c>
      <c r="I678" s="8">
        <f>G678-H678</f>
        <v/>
      </c>
      <c r="J678" s="11">
        <f>IF(G678=0,0,MIN(1,I678/G678))</f>
        <v/>
      </c>
    </row>
    <row r="679">
      <c r="A679" t="inlineStr">
        <is>
          <t>IMB0067550</t>
        </is>
      </c>
      <c r="B679" t="inlineStr">
        <is>
          <t>Ativos de Óleo e Gás - Peregrino</t>
        </is>
      </c>
      <c r="C679" t="inlineStr">
        <is>
          <t>Prio Tigris</t>
        </is>
      </c>
      <c r="D679" t="inlineStr">
        <is>
          <t>Peregrino</t>
        </is>
      </c>
      <c r="E679" t="inlineStr">
        <is>
          <t>Árvore de natal molhada (ANM)</t>
        </is>
      </c>
      <c r="F679" t="inlineStr">
        <is>
          <t>Amostral</t>
        </is>
      </c>
      <c r="G679" s="8" t="n">
        <v>5888913.2</v>
      </c>
      <c r="H679" s="8" t="n">
        <v>5888913.2</v>
      </c>
      <c r="I679" s="8">
        <f>G679-H679</f>
        <v/>
      </c>
      <c r="J679" s="11">
        <f>IF(G679=0,0,MIN(1,I679/G679))</f>
        <v/>
      </c>
    </row>
    <row r="680">
      <c r="A680" t="inlineStr">
        <is>
          <t>IMB0067598</t>
        </is>
      </c>
      <c r="B680" t="inlineStr">
        <is>
          <t>Ativos de Óleo e Gás - Peregrino</t>
        </is>
      </c>
      <c r="C680" t="inlineStr">
        <is>
          <t>Prio Tigris</t>
        </is>
      </c>
      <c r="D680" t="inlineStr">
        <is>
          <t>Peregrino</t>
        </is>
      </c>
      <c r="E680" t="inlineStr">
        <is>
          <t>Riser flexível</t>
        </is>
      </c>
      <c r="F680" t="inlineStr">
        <is>
          <t>Amostral</t>
        </is>
      </c>
      <c r="G680" s="8" t="n">
        <v>463344.62</v>
      </c>
      <c r="H680" s="8" t="n">
        <v>463344.62</v>
      </c>
      <c r="I680" s="8">
        <f>G680-H680</f>
        <v/>
      </c>
      <c r="J680" s="11">
        <f>IF(G680=0,0,MIN(1,I680/G680))</f>
        <v/>
      </c>
    </row>
    <row r="681">
      <c r="A681" t="inlineStr">
        <is>
          <t>IMB0067659</t>
        </is>
      </c>
      <c r="B681" t="inlineStr">
        <is>
          <t>Ativos de Óleo e Gás - Peregrino</t>
        </is>
      </c>
      <c r="C681" t="inlineStr">
        <is>
          <t>Prio Tigris</t>
        </is>
      </c>
      <c r="D681" t="inlineStr">
        <is>
          <t>Peregrino</t>
        </is>
      </c>
      <c r="E681" t="inlineStr">
        <is>
          <t>Poço produtor - completação</t>
        </is>
      </c>
      <c r="F681" t="inlineStr">
        <is>
          <t>Amostral</t>
        </is>
      </c>
      <c r="G681" s="8" t="n">
        <v>549529.6</v>
      </c>
      <c r="H681" s="8" t="n">
        <v>549529.6</v>
      </c>
      <c r="I681" s="8">
        <f>G681-H681</f>
        <v/>
      </c>
      <c r="J681" s="11">
        <f>IF(G681=0,0,MIN(1,I681/G681))</f>
        <v/>
      </c>
    </row>
    <row r="682">
      <c r="A682" t="inlineStr">
        <is>
          <t>IMB0067708</t>
        </is>
      </c>
      <c r="B682" t="inlineStr">
        <is>
          <t>Ativos de Óleo e Gás - Peregrino</t>
        </is>
      </c>
      <c r="C682" t="inlineStr">
        <is>
          <t>Prio Tigris</t>
        </is>
      </c>
      <c r="D682" t="inlineStr">
        <is>
          <t>Peregrino</t>
        </is>
      </c>
      <c r="E682" t="inlineStr">
        <is>
          <t>Poço produtor - completação</t>
        </is>
      </c>
      <c r="F682" t="inlineStr">
        <is>
          <t>Amostral</t>
        </is>
      </c>
      <c r="G682" s="8" t="n">
        <v>4288452.86</v>
      </c>
      <c r="H682" s="8" t="n">
        <v>4288452.86</v>
      </c>
      <c r="I682" s="8">
        <f>G682-H682</f>
        <v/>
      </c>
      <c r="J682" s="11">
        <f>IF(G682=0,0,MIN(1,I682/G682))</f>
        <v/>
      </c>
    </row>
    <row r="683">
      <c r="A683" t="inlineStr">
        <is>
          <t>IMB0067814</t>
        </is>
      </c>
      <c r="B683" t="inlineStr">
        <is>
          <t>Ativos de Óleo e Gás - Peregrino</t>
        </is>
      </c>
      <c r="C683" t="inlineStr">
        <is>
          <t>Prio Tigris</t>
        </is>
      </c>
      <c r="D683" t="inlineStr">
        <is>
          <t>Peregrino</t>
        </is>
      </c>
      <c r="E683" t="inlineStr">
        <is>
          <t>Poço produtor - perfuração</t>
        </is>
      </c>
      <c r="F683" t="inlineStr">
        <is>
          <t>Amostral</t>
        </is>
      </c>
      <c r="G683" s="8" t="n">
        <v>1204758.87</v>
      </c>
      <c r="H683" s="8" t="n">
        <v>1204758.87</v>
      </c>
      <c r="I683" s="8">
        <f>G683-H683</f>
        <v/>
      </c>
      <c r="J683" s="11">
        <f>IF(G683=0,0,MIN(1,I683/G683))</f>
        <v/>
      </c>
    </row>
    <row r="684">
      <c r="A684" t="inlineStr">
        <is>
          <t>IMB0067925</t>
        </is>
      </c>
      <c r="B684" t="inlineStr">
        <is>
          <t>Ativos de Óleo e Gás - Peregrino</t>
        </is>
      </c>
      <c r="C684" t="inlineStr">
        <is>
          <t>Prio Tigris</t>
        </is>
      </c>
      <c r="D684" t="inlineStr">
        <is>
          <t>Peregrino</t>
        </is>
      </c>
      <c r="E684" t="inlineStr">
        <is>
          <t>Poço produtor - perfuração</t>
        </is>
      </c>
      <c r="F684" t="inlineStr">
        <is>
          <t>Amostral</t>
        </is>
      </c>
      <c r="G684" s="8" t="n">
        <v>12420667.37</v>
      </c>
      <c r="H684" s="8" t="n">
        <v>12420667.37</v>
      </c>
      <c r="I684" s="8">
        <f>G684-H684</f>
        <v/>
      </c>
      <c r="J684" s="11">
        <f>IF(G684=0,0,MIN(1,I684/G684))</f>
        <v/>
      </c>
    </row>
    <row r="685">
      <c r="A685" t="inlineStr">
        <is>
          <t>IMB0067950</t>
        </is>
      </c>
      <c r="B685" t="inlineStr">
        <is>
          <t>Ativos de Óleo e Gás - Peregrino</t>
        </is>
      </c>
      <c r="C685" t="inlineStr">
        <is>
          <t>Prio Tigris</t>
        </is>
      </c>
      <c r="D685" t="inlineStr">
        <is>
          <t>Peregrino</t>
        </is>
      </c>
      <c r="E685" t="inlineStr">
        <is>
          <t>Árvore de natal molhada (ANM)</t>
        </is>
      </c>
      <c r="F685" t="inlineStr">
        <is>
          <t>Amostral</t>
        </is>
      </c>
      <c r="G685" s="8" t="n">
        <v>51926.14</v>
      </c>
      <c r="H685" s="8" t="n">
        <v>51926.14</v>
      </c>
      <c r="I685" s="8">
        <f>G685-H685</f>
        <v/>
      </c>
      <c r="J685" s="11">
        <f>IF(G685=0,0,MIN(1,I685/G685))</f>
        <v/>
      </c>
    </row>
    <row r="686">
      <c r="A686" t="inlineStr">
        <is>
          <t>IMB0068058</t>
        </is>
      </c>
      <c r="B686" t="inlineStr">
        <is>
          <t>Ativos de Óleo e Gás - Peregrino</t>
        </is>
      </c>
      <c r="C686" t="inlineStr">
        <is>
          <t>Prio Tigris</t>
        </is>
      </c>
      <c r="D686" t="inlineStr">
        <is>
          <t>Peregrino</t>
        </is>
      </c>
      <c r="E686" t="inlineStr">
        <is>
          <t>Poço produtor - perfuração</t>
        </is>
      </c>
      <c r="F686" t="inlineStr">
        <is>
          <t>Amostral</t>
        </is>
      </c>
      <c r="G686" s="8" t="n">
        <v>169285.77</v>
      </c>
      <c r="H686" s="8" t="n">
        <v>169285.77</v>
      </c>
      <c r="I686" s="8">
        <f>G686-H686</f>
        <v/>
      </c>
      <c r="J686" s="11">
        <f>IF(G686=0,0,MIN(1,I686/G686))</f>
        <v/>
      </c>
    </row>
    <row r="687">
      <c r="A687" t="inlineStr">
        <is>
          <t>IMB0068137</t>
        </is>
      </c>
      <c r="B687" t="inlineStr">
        <is>
          <t>Ativos de Óleo e Gás - Peregrino</t>
        </is>
      </c>
      <c r="C687" t="inlineStr">
        <is>
          <t>Prio Tigris</t>
        </is>
      </c>
      <c r="D687" t="inlineStr">
        <is>
          <t>Peregrino</t>
        </is>
      </c>
      <c r="E687" t="inlineStr">
        <is>
          <t>Custo de abandono capitalizado (ARO)</t>
        </is>
      </c>
      <c r="F687" t="inlineStr">
        <is>
          <t>Amostral</t>
        </is>
      </c>
      <c r="G687" s="8" t="n">
        <v>1359557.51</v>
      </c>
      <c r="H687" s="8" t="n">
        <v>1359557.51</v>
      </c>
      <c r="I687" s="8">
        <f>G687-H687</f>
        <v/>
      </c>
      <c r="J687" s="11">
        <f>IF(G687=0,0,MIN(1,I687/G687))</f>
        <v/>
      </c>
    </row>
    <row r="688">
      <c r="A688" t="inlineStr">
        <is>
          <t>IMB0068216</t>
        </is>
      </c>
      <c r="B688" t="inlineStr">
        <is>
          <t>Ativos de Óleo e Gás - Peregrino</t>
        </is>
      </c>
      <c r="C688" t="inlineStr">
        <is>
          <t>Prio Tigris</t>
        </is>
      </c>
      <c r="D688" t="inlineStr">
        <is>
          <t>Peregrino</t>
        </is>
      </c>
      <c r="E688" t="inlineStr">
        <is>
          <t>Umbilical eletro-hidráulico</t>
        </is>
      </c>
      <c r="F688" t="inlineStr">
        <is>
          <t>Amostral</t>
        </is>
      </c>
      <c r="G688" s="8" t="n">
        <v>701294.47</v>
      </c>
      <c r="H688" s="8" t="n">
        <v>701294.47</v>
      </c>
      <c r="I688" s="8">
        <f>G688-H688</f>
        <v/>
      </c>
      <c r="J688" s="11">
        <f>IF(G688=0,0,MIN(1,I688/G688))</f>
        <v/>
      </c>
    </row>
    <row r="689">
      <c r="A689" t="inlineStr">
        <is>
          <t>IMB0068262</t>
        </is>
      </c>
      <c r="B689" t="inlineStr">
        <is>
          <t>Ativos de Óleo e Gás - Peregrino</t>
        </is>
      </c>
      <c r="C689" t="inlineStr">
        <is>
          <t>Prio Tigris</t>
        </is>
      </c>
      <c r="D689" t="inlineStr">
        <is>
          <t>Peregrino</t>
        </is>
      </c>
      <c r="E689" t="inlineStr">
        <is>
          <t>Equipamento de controle submarino (SCM)</t>
        </is>
      </c>
      <c r="F689" t="inlineStr">
        <is>
          <t>Amostral</t>
        </is>
      </c>
      <c r="G689" s="8" t="n">
        <v>263207.88</v>
      </c>
      <c r="H689" s="8" t="n">
        <v>263207.88</v>
      </c>
      <c r="I689" s="8">
        <f>G689-H689</f>
        <v/>
      </c>
      <c r="J689" s="11">
        <f>IF(G689=0,0,MIN(1,I689/G689))</f>
        <v/>
      </c>
    </row>
    <row r="690">
      <c r="A690" t="inlineStr">
        <is>
          <t>IMB0068346</t>
        </is>
      </c>
      <c r="B690" t="inlineStr">
        <is>
          <t>Ativos de Óleo e Gás - Peregrino</t>
        </is>
      </c>
      <c r="C690" t="inlineStr">
        <is>
          <t>Prio Tigris</t>
        </is>
      </c>
      <c r="D690" t="inlineStr">
        <is>
          <t>Peregrino</t>
        </is>
      </c>
      <c r="E690" t="inlineStr">
        <is>
          <t>Linha flexível de produção</t>
        </is>
      </c>
      <c r="F690" t="inlineStr">
        <is>
          <t>Amostral</t>
        </is>
      </c>
      <c r="G690" s="8" t="n">
        <v>2586149.67</v>
      </c>
      <c r="H690" s="8" t="n">
        <v>2586149.67</v>
      </c>
      <c r="I690" s="8">
        <f>G690-H690</f>
        <v/>
      </c>
      <c r="J690" s="11">
        <f>IF(G690=0,0,MIN(1,I690/G690))</f>
        <v/>
      </c>
    </row>
    <row r="691">
      <c r="A691" t="inlineStr">
        <is>
          <t>IMB0068393</t>
        </is>
      </c>
      <c r="B691" t="inlineStr">
        <is>
          <t>Ativos de Óleo e Gás - Peregrino</t>
        </is>
      </c>
      <c r="C691" t="inlineStr">
        <is>
          <t>Prio Tigris</t>
        </is>
      </c>
      <c r="D691" t="inlineStr">
        <is>
          <t>Peregrino</t>
        </is>
      </c>
      <c r="E691" t="inlineStr">
        <is>
          <t>Poço produtor - perfuração</t>
        </is>
      </c>
      <c r="F691" t="inlineStr">
        <is>
          <t>Amostral</t>
        </is>
      </c>
      <c r="G691" s="8" t="n">
        <v>693631.92</v>
      </c>
      <c r="H691" s="8" t="n">
        <v>693631.92</v>
      </c>
      <c r="I691" s="8">
        <f>G691-H691</f>
        <v/>
      </c>
      <c r="J691" s="11">
        <f>IF(G691=0,0,MIN(1,I691/G691))</f>
        <v/>
      </c>
    </row>
    <row r="692">
      <c r="A692" t="inlineStr">
        <is>
          <t>IMB0068468</t>
        </is>
      </c>
      <c r="B692" t="inlineStr">
        <is>
          <t>Ativos de Óleo e Gás - Peregrino</t>
        </is>
      </c>
      <c r="C692" t="inlineStr">
        <is>
          <t>Prio Tigris</t>
        </is>
      </c>
      <c r="D692" t="inlineStr">
        <is>
          <t>Peregrino</t>
        </is>
      </c>
      <c r="E692" t="inlineStr">
        <is>
          <t>Custo de abandono capitalizado (ARO)</t>
        </is>
      </c>
      <c r="F692" t="inlineStr">
        <is>
          <t>Amostral</t>
        </is>
      </c>
      <c r="G692" s="8" t="n">
        <v>701839.51</v>
      </c>
      <c r="H692" s="8" t="n">
        <v>701839.51</v>
      </c>
      <c r="I692" s="8">
        <f>G692-H692</f>
        <v/>
      </c>
      <c r="J692" s="11">
        <f>IF(G692=0,0,MIN(1,I692/G692))</f>
        <v/>
      </c>
    </row>
    <row r="693">
      <c r="A693" t="inlineStr">
        <is>
          <t>IMB0068606</t>
        </is>
      </c>
      <c r="B693" t="inlineStr">
        <is>
          <t>Ativos de Óleo e Gás - Peregrino</t>
        </is>
      </c>
      <c r="C693" t="inlineStr">
        <is>
          <t>Prio Tigris</t>
        </is>
      </c>
      <c r="D693" t="inlineStr">
        <is>
          <t>Peregrino</t>
        </is>
      </c>
      <c r="E693" t="inlineStr">
        <is>
          <t>Riser flexível</t>
        </is>
      </c>
      <c r="F693" t="inlineStr">
        <is>
          <t>Amostral</t>
        </is>
      </c>
      <c r="G693" s="8" t="n">
        <v>1841596.91</v>
      </c>
      <c r="H693" s="8" t="n">
        <v>1841596.91</v>
      </c>
      <c r="I693" s="8">
        <f>G693-H693</f>
        <v/>
      </c>
      <c r="J693" s="11">
        <f>IF(G693=0,0,MIN(1,I693/G693))</f>
        <v/>
      </c>
    </row>
    <row r="694">
      <c r="A694" t="inlineStr">
        <is>
          <t>IMB0068690</t>
        </is>
      </c>
      <c r="B694" t="inlineStr">
        <is>
          <t>Ativos de Óleo e Gás - Peregrino</t>
        </is>
      </c>
      <c r="C694" t="inlineStr">
        <is>
          <t>Prio Tigris</t>
        </is>
      </c>
      <c r="D694" t="inlineStr">
        <is>
          <t>Peregrino</t>
        </is>
      </c>
      <c r="E694" t="inlineStr">
        <is>
          <t>Poço produtor - completação</t>
        </is>
      </c>
      <c r="F694" t="inlineStr">
        <is>
          <t>Amostral</t>
        </is>
      </c>
      <c r="G694" s="8" t="n">
        <v>160030.18</v>
      </c>
      <c r="H694" s="8" t="n">
        <v>160030.18</v>
      </c>
      <c r="I694" s="8">
        <f>G694-H694</f>
        <v/>
      </c>
      <c r="J694" s="11">
        <f>IF(G694=0,0,MIN(1,I694/G694))</f>
        <v/>
      </c>
    </row>
    <row r="695">
      <c r="A695" t="inlineStr">
        <is>
          <t>IMB0068748</t>
        </is>
      </c>
      <c r="B695" t="inlineStr">
        <is>
          <t>Ativos de Óleo e Gás - Peregrino</t>
        </is>
      </c>
      <c r="C695" t="inlineStr">
        <is>
          <t>Prio Tigris</t>
        </is>
      </c>
      <c r="D695" t="inlineStr">
        <is>
          <t>Peregrino</t>
        </is>
      </c>
      <c r="E695" t="inlineStr">
        <is>
          <t>Riser flexível</t>
        </is>
      </c>
      <c r="F695" t="inlineStr">
        <is>
          <t>Amostral</t>
        </is>
      </c>
      <c r="G695" s="8" t="n">
        <v>6403240.51</v>
      </c>
      <c r="H695" s="8" t="n">
        <v>6403240.51</v>
      </c>
      <c r="I695" s="8">
        <f>G695-H695</f>
        <v/>
      </c>
      <c r="J695" s="11">
        <f>IF(G695=0,0,MIN(1,I695/G695))</f>
        <v/>
      </c>
    </row>
    <row r="696">
      <c r="A696" t="inlineStr">
        <is>
          <t>IMB0068781</t>
        </is>
      </c>
      <c r="B696" t="inlineStr">
        <is>
          <t>Ativos de Óleo e Gás - Peregrino</t>
        </is>
      </c>
      <c r="C696" t="inlineStr">
        <is>
          <t>Prio Tigris</t>
        </is>
      </c>
      <c r="D696" t="inlineStr">
        <is>
          <t>Peregrino</t>
        </is>
      </c>
      <c r="E696" t="inlineStr">
        <is>
          <t>Manifold submarino</t>
        </is>
      </c>
      <c r="F696" t="inlineStr">
        <is>
          <t>Amostral</t>
        </is>
      </c>
      <c r="G696" s="8" t="n">
        <v>7755578.98</v>
      </c>
      <c r="H696" s="8" t="n">
        <v>7755578.98</v>
      </c>
      <c r="I696" s="8">
        <f>G696-H696</f>
        <v/>
      </c>
      <c r="J696" s="11">
        <f>IF(G696=0,0,MIN(1,I696/G696))</f>
        <v/>
      </c>
    </row>
    <row r="697">
      <c r="A697" t="inlineStr">
        <is>
          <t>IMB0068856</t>
        </is>
      </c>
      <c r="B697" t="inlineStr">
        <is>
          <t>Ativos de Óleo e Gás - Peregrino</t>
        </is>
      </c>
      <c r="C697" t="inlineStr">
        <is>
          <t>Prio Tigris</t>
        </is>
      </c>
      <c r="D697" t="inlineStr">
        <is>
          <t>Peregrino</t>
        </is>
      </c>
      <c r="E697" t="inlineStr">
        <is>
          <t>Poço produtor - completação</t>
        </is>
      </c>
      <c r="F697" t="inlineStr">
        <is>
          <t>Amostral</t>
        </is>
      </c>
      <c r="G697" s="8" t="n">
        <v>588738.4</v>
      </c>
      <c r="H697" s="8" t="n">
        <v>588738.4</v>
      </c>
      <c r="I697" s="8">
        <f>G697-H697</f>
        <v/>
      </c>
      <c r="J697" s="11">
        <f>IF(G697=0,0,MIN(1,I697/G697))</f>
        <v/>
      </c>
    </row>
    <row r="698">
      <c r="A698" t="inlineStr">
        <is>
          <t>IMB0068930</t>
        </is>
      </c>
      <c r="B698" t="inlineStr">
        <is>
          <t>Ativos de Óleo e Gás - Peregrino</t>
        </is>
      </c>
      <c r="C698" t="inlineStr">
        <is>
          <t>Prio Tigris</t>
        </is>
      </c>
      <c r="D698" t="inlineStr">
        <is>
          <t>Peregrino</t>
        </is>
      </c>
      <c r="E698" t="inlineStr">
        <is>
          <t>Poço injetor - perfuração</t>
        </is>
      </c>
      <c r="F698" t="inlineStr">
        <is>
          <t>Amostral</t>
        </is>
      </c>
      <c r="G698" s="8" t="n">
        <v>4762116.82</v>
      </c>
      <c r="H698" s="8" t="n">
        <v>4762116.82</v>
      </c>
      <c r="I698" s="8">
        <f>G698-H698</f>
        <v/>
      </c>
      <c r="J698" s="11">
        <f>IF(G698=0,0,MIN(1,I698/G698))</f>
        <v/>
      </c>
    </row>
    <row r="699">
      <c r="A699" t="inlineStr">
        <is>
          <t>IMB0068962</t>
        </is>
      </c>
      <c r="B699" t="inlineStr">
        <is>
          <t>Ativos de Óleo e Gás - Peregrino</t>
        </is>
      </c>
      <c r="C699" t="inlineStr">
        <is>
          <t>Prio Tigris</t>
        </is>
      </c>
      <c r="D699" t="inlineStr">
        <is>
          <t>Peregrino</t>
        </is>
      </c>
      <c r="E699" t="inlineStr">
        <is>
          <t>Poço injetor - perfuração</t>
        </is>
      </c>
      <c r="F699" t="inlineStr">
        <is>
          <t>Amostral</t>
        </is>
      </c>
      <c r="G699" s="8" t="n">
        <v>1206537.25</v>
      </c>
      <c r="H699" s="8" t="n">
        <v>1206537.25</v>
      </c>
      <c r="I699" s="8">
        <f>G699-H699</f>
        <v/>
      </c>
      <c r="J699" s="11">
        <f>IF(G699=0,0,MIN(1,I699/G699))</f>
        <v/>
      </c>
    </row>
    <row r="700">
      <c r="A700" t="inlineStr">
        <is>
          <t>IMB0069045</t>
        </is>
      </c>
      <c r="B700" t="inlineStr">
        <is>
          <t>Ativos de Óleo e Gás - Peregrino</t>
        </is>
      </c>
      <c r="C700" t="inlineStr">
        <is>
          <t>Prio Tigris</t>
        </is>
      </c>
      <c r="D700" t="inlineStr">
        <is>
          <t>Peregrino</t>
        </is>
      </c>
      <c r="E700" t="inlineStr">
        <is>
          <t>Umbilical eletro-hidráulico</t>
        </is>
      </c>
      <c r="F700" t="inlineStr">
        <is>
          <t>Amostral</t>
        </is>
      </c>
      <c r="G700" s="8" t="n">
        <v>3495082.17</v>
      </c>
      <c r="H700" s="8" t="n">
        <v>3495082.17</v>
      </c>
      <c r="I700" s="8">
        <f>G700-H700</f>
        <v/>
      </c>
      <c r="J700" s="11">
        <f>IF(G700=0,0,MIN(1,I700/G700))</f>
        <v/>
      </c>
    </row>
    <row r="701">
      <c r="A701" t="inlineStr">
        <is>
          <t>IMB0069125</t>
        </is>
      </c>
      <c r="B701" t="inlineStr">
        <is>
          <t>Ativos de Óleo e Gás - Peregrino</t>
        </is>
      </c>
      <c r="C701" t="inlineStr">
        <is>
          <t>Prio Tigris</t>
        </is>
      </c>
      <c r="D701" t="inlineStr">
        <is>
          <t>Peregrino</t>
        </is>
      </c>
      <c r="E701" t="inlineStr">
        <is>
          <t>Equipamento de controle submarino (SCM)</t>
        </is>
      </c>
      <c r="F701" t="inlineStr">
        <is>
          <t>Amostral</t>
        </is>
      </c>
      <c r="G701" s="8" t="n">
        <v>1789530.35</v>
      </c>
      <c r="H701" s="8" t="n">
        <v>1789530.35</v>
      </c>
      <c r="I701" s="8">
        <f>G701-H701</f>
        <v/>
      </c>
      <c r="J701" s="11">
        <f>IF(G701=0,0,MIN(1,I701/G701))</f>
        <v/>
      </c>
    </row>
    <row r="702">
      <c r="A702" t="inlineStr">
        <is>
          <t>IMB0069193</t>
        </is>
      </c>
      <c r="B702" t="inlineStr">
        <is>
          <t>Ativos de Óleo e Gás - Peregrino</t>
        </is>
      </c>
      <c r="C702" t="inlineStr">
        <is>
          <t>Prio Tigris</t>
        </is>
      </c>
      <c r="D702" t="inlineStr">
        <is>
          <t>Peregrino</t>
        </is>
      </c>
      <c r="E702" t="inlineStr">
        <is>
          <t>Duto de exportação de gás</t>
        </is>
      </c>
      <c r="F702" t="inlineStr">
        <is>
          <t>Amostral</t>
        </is>
      </c>
      <c r="G702" s="8" t="n">
        <v>99852.36</v>
      </c>
      <c r="H702" s="8" t="n">
        <v>99852.36</v>
      </c>
      <c r="I702" s="8">
        <f>G702-H702</f>
        <v/>
      </c>
      <c r="J702" s="11">
        <f>IF(G702=0,0,MIN(1,I702/G702))</f>
        <v/>
      </c>
    </row>
    <row r="703">
      <c r="A703" t="inlineStr">
        <is>
          <t>IMB0069257</t>
        </is>
      </c>
      <c r="B703" t="inlineStr">
        <is>
          <t>Ativos de Óleo e Gás - Peregrino</t>
        </is>
      </c>
      <c r="C703" t="inlineStr">
        <is>
          <t>Prio Tigris</t>
        </is>
      </c>
      <c r="D703" t="inlineStr">
        <is>
          <t>Peregrino</t>
        </is>
      </c>
      <c r="E703" t="inlineStr">
        <is>
          <t>Jumper submarino</t>
        </is>
      </c>
      <c r="F703" t="inlineStr">
        <is>
          <t>Amostral</t>
        </is>
      </c>
      <c r="G703" s="8" t="n">
        <v>944646.49</v>
      </c>
      <c r="H703" s="8" t="n">
        <v>944646.49</v>
      </c>
      <c r="I703" s="8">
        <f>G703-H703</f>
        <v/>
      </c>
      <c r="J703" s="11">
        <f>IF(G703=0,0,MIN(1,I703/G703))</f>
        <v/>
      </c>
    </row>
    <row r="704">
      <c r="A704" t="inlineStr">
        <is>
          <t>IMB0069350</t>
        </is>
      </c>
      <c r="B704" t="inlineStr">
        <is>
          <t>Ativos de Óleo e Gás - Peregrino</t>
        </is>
      </c>
      <c r="C704" t="inlineStr">
        <is>
          <t>Prio Tigris</t>
        </is>
      </c>
      <c r="D704" t="inlineStr">
        <is>
          <t>Peregrino</t>
        </is>
      </c>
      <c r="E704" t="inlineStr">
        <is>
          <t>Poço produtor - completação</t>
        </is>
      </c>
      <c r="F704" t="inlineStr">
        <is>
          <t>Amostral</t>
        </is>
      </c>
      <c r="G704" s="8" t="n">
        <v>387305.47</v>
      </c>
      <c r="H704" s="8" t="n">
        <v>387305.47</v>
      </c>
      <c r="I704" s="8">
        <f>G704-H704</f>
        <v/>
      </c>
      <c r="J704" s="11">
        <f>IF(G704=0,0,MIN(1,I704/G704))</f>
        <v/>
      </c>
    </row>
    <row r="705">
      <c r="A705" t="inlineStr">
        <is>
          <t>IMB0069465</t>
        </is>
      </c>
      <c r="B705" t="inlineStr">
        <is>
          <t>Ativos de Óleo e Gás - Peregrino</t>
        </is>
      </c>
      <c r="C705" t="inlineStr">
        <is>
          <t>Prio Tigris</t>
        </is>
      </c>
      <c r="D705" t="inlineStr">
        <is>
          <t>Peregrino</t>
        </is>
      </c>
      <c r="E705" t="inlineStr">
        <is>
          <t>Umbilical eletro-hidráulico</t>
        </is>
      </c>
      <c r="F705" t="inlineStr">
        <is>
          <t>Amostral</t>
        </is>
      </c>
      <c r="G705" s="8" t="n">
        <v>405450.67</v>
      </c>
      <c r="H705" s="8" t="n">
        <v>405450.67</v>
      </c>
      <c r="I705" s="8">
        <f>G705-H705</f>
        <v/>
      </c>
      <c r="J705" s="11">
        <f>IF(G705=0,0,MIN(1,I705/G705))</f>
        <v/>
      </c>
    </row>
    <row r="706">
      <c r="A706" t="inlineStr">
        <is>
          <t>IMB0069532</t>
        </is>
      </c>
      <c r="B706" t="inlineStr">
        <is>
          <t>Ativos de Óleo e Gás - Peregrino</t>
        </is>
      </c>
      <c r="C706" t="inlineStr">
        <is>
          <t>Prio Tigris</t>
        </is>
      </c>
      <c r="D706" t="inlineStr">
        <is>
          <t>Peregrino</t>
        </is>
      </c>
      <c r="E706" t="inlineStr">
        <is>
          <t>Poço produtor - completação</t>
        </is>
      </c>
      <c r="F706" t="inlineStr">
        <is>
          <t>Amostral</t>
        </is>
      </c>
      <c r="G706" s="8" t="n">
        <v>1495829.78</v>
      </c>
      <c r="H706" s="8" t="n">
        <v>1495829.78</v>
      </c>
      <c r="I706" s="8">
        <f>G706-H706</f>
        <v/>
      </c>
      <c r="J706" s="11">
        <f>IF(G706=0,0,MIN(1,I706/G706))</f>
        <v/>
      </c>
    </row>
    <row r="707">
      <c r="A707" t="inlineStr">
        <is>
          <t>IMB0069619</t>
        </is>
      </c>
      <c r="B707" t="inlineStr">
        <is>
          <t>Ativos de Óleo e Gás - Peregrino</t>
        </is>
      </c>
      <c r="C707" t="inlineStr">
        <is>
          <t>Prio Tigris</t>
        </is>
      </c>
      <c r="D707" t="inlineStr">
        <is>
          <t>Peregrino</t>
        </is>
      </c>
      <c r="E707" t="inlineStr">
        <is>
          <t>Riser flexível</t>
        </is>
      </c>
      <c r="F707" t="inlineStr">
        <is>
          <t>Amostral</t>
        </is>
      </c>
      <c r="G707" s="8" t="n">
        <v>172327.74</v>
      </c>
      <c r="H707" s="8" t="n">
        <v>172327.74</v>
      </c>
      <c r="I707" s="8">
        <f>G707-H707</f>
        <v/>
      </c>
      <c r="J707" s="11">
        <f>IF(G707=0,0,MIN(1,I707/G707))</f>
        <v/>
      </c>
    </row>
    <row r="708">
      <c r="A708" t="inlineStr">
        <is>
          <t>IMB0069712</t>
        </is>
      </c>
      <c r="B708" t="inlineStr">
        <is>
          <t>Ativos de Óleo e Gás - Peregrino</t>
        </is>
      </c>
      <c r="C708" t="inlineStr">
        <is>
          <t>Prio Tigris</t>
        </is>
      </c>
      <c r="D708" t="inlineStr">
        <is>
          <t>Peregrino</t>
        </is>
      </c>
      <c r="E708" t="inlineStr">
        <is>
          <t>Equipamento de controle submarino (SCM)</t>
        </is>
      </c>
      <c r="F708" t="inlineStr">
        <is>
          <t>Amostral</t>
        </is>
      </c>
      <c r="G708" s="8" t="n">
        <v>1263551.86</v>
      </c>
      <c r="H708" s="8" t="n">
        <v>1263551.86</v>
      </c>
      <c r="I708" s="8">
        <f>G708-H708</f>
        <v/>
      </c>
      <c r="J708" s="11">
        <f>IF(G708=0,0,MIN(1,I708/G708))</f>
        <v/>
      </c>
    </row>
    <row r="709">
      <c r="A709" t="inlineStr">
        <is>
          <t>IMB0069764</t>
        </is>
      </c>
      <c r="B709" t="inlineStr">
        <is>
          <t>Ativos de Óleo e Gás - Peregrino</t>
        </is>
      </c>
      <c r="C709" t="inlineStr">
        <is>
          <t>Prio Tigris</t>
        </is>
      </c>
      <c r="D709" t="inlineStr">
        <is>
          <t>Peregrino</t>
        </is>
      </c>
      <c r="E709" t="inlineStr">
        <is>
          <t>Manifold submarino</t>
        </is>
      </c>
      <c r="F709" t="inlineStr">
        <is>
          <t>Amostral</t>
        </is>
      </c>
      <c r="G709" s="8" t="n">
        <v>2099013.88</v>
      </c>
      <c r="H709" s="8" t="n">
        <v>2099013.88</v>
      </c>
      <c r="I709" s="8">
        <f>G709-H709</f>
        <v/>
      </c>
      <c r="J709" s="11">
        <f>IF(G709=0,0,MIN(1,I709/G709))</f>
        <v/>
      </c>
    </row>
    <row r="710">
      <c r="A710" t="inlineStr">
        <is>
          <t>IMB0069880</t>
        </is>
      </c>
      <c r="B710" t="inlineStr">
        <is>
          <t>Ativos de Óleo e Gás - Peregrino</t>
        </is>
      </c>
      <c r="C710" t="inlineStr">
        <is>
          <t>Prio Tigris</t>
        </is>
      </c>
      <c r="D710" t="inlineStr">
        <is>
          <t>Peregrino</t>
        </is>
      </c>
      <c r="E710" t="inlineStr">
        <is>
          <t>Linha flexível de produção</t>
        </is>
      </c>
      <c r="F710" t="inlineStr">
        <is>
          <t>Amostral</t>
        </is>
      </c>
      <c r="G710" s="8" t="n">
        <v>1853201.74</v>
      </c>
      <c r="H710" s="8" t="n">
        <v>1853201.74</v>
      </c>
      <c r="I710" s="8">
        <f>G710-H710</f>
        <v/>
      </c>
      <c r="J710" s="11">
        <f>IF(G710=0,0,MIN(1,I710/G710))</f>
        <v/>
      </c>
    </row>
    <row r="711">
      <c r="A711" t="inlineStr">
        <is>
          <t>IMB0069965</t>
        </is>
      </c>
      <c r="B711" t="inlineStr">
        <is>
          <t>Ativos de Óleo e Gás - Peregrino</t>
        </is>
      </c>
      <c r="C711" t="inlineStr">
        <is>
          <t>Prio Tigris</t>
        </is>
      </c>
      <c r="D711" t="inlineStr">
        <is>
          <t>Peregrino</t>
        </is>
      </c>
      <c r="E711" t="inlineStr">
        <is>
          <t>Umbilical eletro-hidráulico</t>
        </is>
      </c>
      <c r="F711" t="inlineStr">
        <is>
          <t>Amostral</t>
        </is>
      </c>
      <c r="G711" s="8" t="n">
        <v>419721.48</v>
      </c>
      <c r="H711" s="8" t="n">
        <v>419721.48</v>
      </c>
      <c r="I711" s="8">
        <f>G711-H711</f>
        <v/>
      </c>
      <c r="J711" s="11">
        <f>IF(G711=0,0,MIN(1,I711/G711))</f>
        <v/>
      </c>
    </row>
    <row r="712">
      <c r="A712" t="inlineStr">
        <is>
          <t>IMB0070079</t>
        </is>
      </c>
      <c r="B712" t="inlineStr">
        <is>
          <t>Ativos de Óleo e Gás - Peregrino</t>
        </is>
      </c>
      <c r="C712" t="inlineStr">
        <is>
          <t>Prio Tigris</t>
        </is>
      </c>
      <c r="D712" t="inlineStr">
        <is>
          <t>Peregrino</t>
        </is>
      </c>
      <c r="E712" t="inlineStr">
        <is>
          <t>Equipamento de controle submarino (SCM)</t>
        </is>
      </c>
      <c r="F712" t="inlineStr">
        <is>
          <t>Amostral</t>
        </is>
      </c>
      <c r="G712" s="8" t="n">
        <v>856385.2</v>
      </c>
      <c r="H712" s="8" t="n">
        <v>856385.2</v>
      </c>
      <c r="I712" s="8">
        <f>G712-H712</f>
        <v/>
      </c>
      <c r="J712" s="11">
        <f>IF(G712=0,0,MIN(1,I712/G712))</f>
        <v/>
      </c>
    </row>
    <row r="713">
      <c r="A713" t="inlineStr">
        <is>
          <t>IMB0070134</t>
        </is>
      </c>
      <c r="B713" t="inlineStr">
        <is>
          <t>Ativos de Óleo e Gás - Peregrino</t>
        </is>
      </c>
      <c r="C713" t="inlineStr">
        <is>
          <t>Prio Tigris</t>
        </is>
      </c>
      <c r="D713" t="inlineStr">
        <is>
          <t>Peregrino</t>
        </is>
      </c>
      <c r="E713" t="inlineStr">
        <is>
          <t>Equipamento de controle submarino (SCM)</t>
        </is>
      </c>
      <c r="F713" t="inlineStr">
        <is>
          <t>Amostral</t>
        </is>
      </c>
      <c r="G713" s="8" t="n">
        <v>3385484.6</v>
      </c>
      <c r="H713" s="8" t="n">
        <v>3385484.6</v>
      </c>
      <c r="I713" s="8">
        <f>G713-H713</f>
        <v/>
      </c>
      <c r="J713" s="11">
        <f>IF(G713=0,0,MIN(1,I713/G713))</f>
        <v/>
      </c>
    </row>
    <row r="714">
      <c r="A714" t="inlineStr">
        <is>
          <t>IMB0070195</t>
        </is>
      </c>
      <c r="B714" t="inlineStr">
        <is>
          <t>Ativos de Óleo e Gás - Peregrino</t>
        </is>
      </c>
      <c r="C714" t="inlineStr">
        <is>
          <t>Prio Tigris</t>
        </is>
      </c>
      <c r="D714" t="inlineStr">
        <is>
          <t>Peregrino</t>
        </is>
      </c>
      <c r="E714" t="inlineStr">
        <is>
          <t>Sistema de gas lift</t>
        </is>
      </c>
      <c r="F714" t="inlineStr">
        <is>
          <t>Amostral</t>
        </is>
      </c>
      <c r="G714" s="8" t="n">
        <v>17857231.2</v>
      </c>
      <c r="H714" s="8" t="n">
        <v>17857231.2</v>
      </c>
      <c r="I714" s="8">
        <f>G714-H714</f>
        <v/>
      </c>
      <c r="J714" s="11">
        <f>IF(G714=0,0,MIN(1,I714/G714))</f>
        <v/>
      </c>
    </row>
    <row r="715">
      <c r="A715" t="inlineStr">
        <is>
          <t>IMB0070241</t>
        </is>
      </c>
      <c r="B715" t="inlineStr">
        <is>
          <t>Ativos de Óleo e Gás - Peregrino</t>
        </is>
      </c>
      <c r="C715" t="inlineStr">
        <is>
          <t>Prio Tigris</t>
        </is>
      </c>
      <c r="D715" t="inlineStr">
        <is>
          <t>Peregrino</t>
        </is>
      </c>
      <c r="E715" t="inlineStr">
        <is>
          <t>Manifold submarino</t>
        </is>
      </c>
      <c r="F715" t="inlineStr">
        <is>
          <t>Amostral</t>
        </is>
      </c>
      <c r="G715" s="8" t="n">
        <v>2236487.69</v>
      </c>
      <c r="H715" s="8" t="n">
        <v>2236487.69</v>
      </c>
      <c r="I715" s="8">
        <f>G715-H715</f>
        <v/>
      </c>
      <c r="J715" s="11">
        <f>IF(G715=0,0,MIN(1,I715/G715))</f>
        <v/>
      </c>
    </row>
    <row r="716">
      <c r="A716" t="inlineStr">
        <is>
          <t>IMB0070296</t>
        </is>
      </c>
      <c r="B716" t="inlineStr">
        <is>
          <t>Ativos de Óleo e Gás - Peregrino</t>
        </is>
      </c>
      <c r="C716" t="inlineStr">
        <is>
          <t>Prio Tigris</t>
        </is>
      </c>
      <c r="D716" t="inlineStr">
        <is>
          <t>Peregrino</t>
        </is>
      </c>
      <c r="E716" t="inlineStr">
        <is>
          <t>Custo de abandono capitalizado (ARO)</t>
        </is>
      </c>
      <c r="F716" t="inlineStr">
        <is>
          <t>Amostral</t>
        </is>
      </c>
      <c r="G716" s="8" t="n">
        <v>1563166.29</v>
      </c>
      <c r="H716" s="8" t="n">
        <v>1563166.29</v>
      </c>
      <c r="I716" s="8">
        <f>G716-H716</f>
        <v/>
      </c>
      <c r="J716" s="11">
        <f>IF(G716=0,0,MIN(1,I716/G716))</f>
        <v/>
      </c>
    </row>
    <row r="717">
      <c r="A717" t="inlineStr">
        <is>
          <t>IMB0070389</t>
        </is>
      </c>
      <c r="B717" t="inlineStr">
        <is>
          <t>Ativos de Óleo e Gás - Peregrino</t>
        </is>
      </c>
      <c r="C717" t="inlineStr">
        <is>
          <t>Prio Tigris</t>
        </is>
      </c>
      <c r="D717" t="inlineStr">
        <is>
          <t>Peregrino</t>
        </is>
      </c>
      <c r="E717" t="inlineStr">
        <is>
          <t>Umbilical eletro-hidráulico</t>
        </is>
      </c>
      <c r="F717" t="inlineStr">
        <is>
          <t>Amostral</t>
        </is>
      </c>
      <c r="G717" s="8" t="n">
        <v>1019737.13</v>
      </c>
      <c r="H717" s="8" t="n">
        <v>1019737.13</v>
      </c>
      <c r="I717" s="8">
        <f>G717-H717</f>
        <v/>
      </c>
      <c r="J717" s="11">
        <f>IF(G717=0,0,MIN(1,I717/G717))</f>
        <v/>
      </c>
    </row>
    <row r="718">
      <c r="A718" t="inlineStr">
        <is>
          <t>IMB0070473</t>
        </is>
      </c>
      <c r="B718" t="inlineStr">
        <is>
          <t>Ativos de Óleo e Gás - Peregrino</t>
        </is>
      </c>
      <c r="C718" t="inlineStr">
        <is>
          <t>Prio Tigris</t>
        </is>
      </c>
      <c r="D718" t="inlineStr">
        <is>
          <t>Peregrino</t>
        </is>
      </c>
      <c r="E718" t="inlineStr">
        <is>
          <t>Riser flexível</t>
        </is>
      </c>
      <c r="F718" t="inlineStr">
        <is>
          <t>Amostral</t>
        </is>
      </c>
      <c r="G718" s="8" t="n">
        <v>720633.65</v>
      </c>
      <c r="H718" s="8" t="n">
        <v>720633.65</v>
      </c>
      <c r="I718" s="8">
        <f>G718-H718</f>
        <v/>
      </c>
      <c r="J718" s="11">
        <f>IF(G718=0,0,MIN(1,I718/G718))</f>
        <v/>
      </c>
    </row>
    <row r="719">
      <c r="A719" t="inlineStr">
        <is>
          <t>IMB0070558</t>
        </is>
      </c>
      <c r="B719" t="inlineStr">
        <is>
          <t>Ativos de Óleo e Gás - Peregrino</t>
        </is>
      </c>
      <c r="C719" t="inlineStr">
        <is>
          <t>Prio Tigris</t>
        </is>
      </c>
      <c r="D719" t="inlineStr">
        <is>
          <t>Peregrino</t>
        </is>
      </c>
      <c r="E719" t="inlineStr">
        <is>
          <t>Riser flexível</t>
        </is>
      </c>
      <c r="F719" t="inlineStr">
        <is>
          <t>Amostral</t>
        </is>
      </c>
      <c r="G719" s="8" t="n">
        <v>523912.32</v>
      </c>
      <c r="H719" s="8" t="n">
        <v>523912.32</v>
      </c>
      <c r="I719" s="8">
        <f>G719-H719</f>
        <v/>
      </c>
      <c r="J719" s="11">
        <f>IF(G719=0,0,MIN(1,I719/G719))</f>
        <v/>
      </c>
    </row>
    <row r="720">
      <c r="A720" t="inlineStr">
        <is>
          <t>IMB0070607</t>
        </is>
      </c>
      <c r="B720" t="inlineStr">
        <is>
          <t>Ativos de Óleo e Gás - Peregrino</t>
        </is>
      </c>
      <c r="C720" t="inlineStr">
        <is>
          <t>Prio Tigris</t>
        </is>
      </c>
      <c r="D720" t="inlineStr">
        <is>
          <t>Peregrino</t>
        </is>
      </c>
      <c r="E720" t="inlineStr">
        <is>
          <t>Linha flexível de produção</t>
        </is>
      </c>
      <c r="F720" t="inlineStr">
        <is>
          <t>Topo (&gt;= intervalo)</t>
        </is>
      </c>
      <c r="G720" s="8" t="n">
        <v>32492114.61</v>
      </c>
      <c r="H720" s="8" t="n">
        <v>32492114.61</v>
      </c>
      <c r="I720" s="8">
        <f>G720-H720</f>
        <v/>
      </c>
      <c r="J720" s="11">
        <f>IF(G720=0,0,MIN(1,I720/G720))</f>
        <v/>
      </c>
    </row>
    <row r="721">
      <c r="A721" t="inlineStr">
        <is>
          <t>IMB0070628</t>
        </is>
      </c>
      <c r="B721" t="inlineStr">
        <is>
          <t>Ativos de Óleo e Gás - Peregrino</t>
        </is>
      </c>
      <c r="C721" t="inlineStr">
        <is>
          <t>Prio Tigris</t>
        </is>
      </c>
      <c r="D721" t="inlineStr">
        <is>
          <t>Peregrino</t>
        </is>
      </c>
      <c r="E721" t="inlineStr">
        <is>
          <t>Poço injetor - perfuração</t>
        </is>
      </c>
      <c r="F721" t="inlineStr">
        <is>
          <t>Amostral</t>
        </is>
      </c>
      <c r="G721" s="8" t="n">
        <v>2274308.49</v>
      </c>
      <c r="H721" s="8" t="n">
        <v>2274308.49</v>
      </c>
      <c r="I721" s="8">
        <f>G721-H721</f>
        <v/>
      </c>
      <c r="J721" s="11">
        <f>IF(G721=0,0,MIN(1,I721/G721))</f>
        <v/>
      </c>
    </row>
    <row r="722">
      <c r="A722" t="inlineStr">
        <is>
          <t>IMB0070717</t>
        </is>
      </c>
      <c r="B722" t="inlineStr">
        <is>
          <t>Ativos de Óleo e Gás - Peregrino</t>
        </is>
      </c>
      <c r="C722" t="inlineStr">
        <is>
          <t>Prio Tigris</t>
        </is>
      </c>
      <c r="D722" t="inlineStr">
        <is>
          <t>Peregrino</t>
        </is>
      </c>
      <c r="E722" t="inlineStr">
        <is>
          <t>Árvore de natal molhada (ANM)</t>
        </is>
      </c>
      <c r="F722" t="inlineStr">
        <is>
          <t>Amostral</t>
        </is>
      </c>
      <c r="G722" s="8" t="n">
        <v>7607867.58</v>
      </c>
      <c r="H722" s="8" t="n">
        <v>7607867.58</v>
      </c>
      <c r="I722" s="8">
        <f>G722-H722</f>
        <v/>
      </c>
      <c r="J722" s="11">
        <f>IF(G722=0,0,MIN(1,I722/G722))</f>
        <v/>
      </c>
    </row>
    <row r="723">
      <c r="A723" t="inlineStr">
        <is>
          <t>IMB0070804</t>
        </is>
      </c>
      <c r="B723" t="inlineStr">
        <is>
          <t>Ativos de Óleo e Gás - Peregrino</t>
        </is>
      </c>
      <c r="C723" t="inlineStr">
        <is>
          <t>Prio Tigris</t>
        </is>
      </c>
      <c r="D723" t="inlineStr">
        <is>
          <t>Peregrino</t>
        </is>
      </c>
      <c r="E723" t="inlineStr">
        <is>
          <t>Bomba centrífuga submersa (BCS)</t>
        </is>
      </c>
      <c r="F723" t="inlineStr">
        <is>
          <t>Amostral</t>
        </is>
      </c>
      <c r="G723" s="8" t="n">
        <v>834763.85</v>
      </c>
      <c r="H723" s="8" t="n">
        <v>834763.85</v>
      </c>
      <c r="I723" s="8">
        <f>G723-H723</f>
        <v/>
      </c>
      <c r="J723" s="11">
        <f>IF(G723=0,0,MIN(1,I723/G723))</f>
        <v/>
      </c>
    </row>
    <row r="724">
      <c r="A724" t="inlineStr">
        <is>
          <t>IMB0070871</t>
        </is>
      </c>
      <c r="B724" t="inlineStr">
        <is>
          <t>Ativos de Óleo e Gás - Peregrino</t>
        </is>
      </c>
      <c r="C724" t="inlineStr">
        <is>
          <t>Prio Tigris</t>
        </is>
      </c>
      <c r="D724" t="inlineStr">
        <is>
          <t>Peregrino</t>
        </is>
      </c>
      <c r="E724" t="inlineStr">
        <is>
          <t>Jumper submarino</t>
        </is>
      </c>
      <c r="F724" t="inlineStr">
        <is>
          <t>Amostral</t>
        </is>
      </c>
      <c r="G724" s="8" t="n">
        <v>1150366.87</v>
      </c>
      <c r="H724" s="8" t="n">
        <v>1150366.87</v>
      </c>
      <c r="I724" s="8">
        <f>G724-H724</f>
        <v/>
      </c>
      <c r="J724" s="11">
        <f>IF(G724=0,0,MIN(1,I724/G724))</f>
        <v/>
      </c>
    </row>
    <row r="725">
      <c r="A725" t="inlineStr">
        <is>
          <t>IMB0070969</t>
        </is>
      </c>
      <c r="B725" t="inlineStr">
        <is>
          <t>Ativos de Óleo e Gás - Peregrino</t>
        </is>
      </c>
      <c r="C725" t="inlineStr">
        <is>
          <t>Prio Tigris</t>
        </is>
      </c>
      <c r="D725" t="inlineStr">
        <is>
          <t>Peregrino</t>
        </is>
      </c>
      <c r="E725" t="inlineStr">
        <is>
          <t>Duto de exportação de gás</t>
        </is>
      </c>
      <c r="F725" t="inlineStr">
        <is>
          <t>Amostral</t>
        </is>
      </c>
      <c r="G725" s="8" t="n">
        <v>12647305.89</v>
      </c>
      <c r="H725" s="8" t="n">
        <v>12647305.89</v>
      </c>
      <c r="I725" s="8">
        <f>G725-H725</f>
        <v/>
      </c>
      <c r="J725" s="11">
        <f>IF(G725=0,0,MIN(1,I725/G725))</f>
        <v/>
      </c>
    </row>
    <row r="726">
      <c r="A726" t="inlineStr">
        <is>
          <t>IMB0071002</t>
        </is>
      </c>
      <c r="B726" t="inlineStr">
        <is>
          <t>Ativos de Óleo e Gás - Peregrino</t>
        </is>
      </c>
      <c r="C726" t="inlineStr">
        <is>
          <t>Prio Tigris</t>
        </is>
      </c>
      <c r="D726" t="inlineStr">
        <is>
          <t>Peregrino</t>
        </is>
      </c>
      <c r="E726" t="inlineStr">
        <is>
          <t>Sistema de gas lift</t>
        </is>
      </c>
      <c r="F726" t="inlineStr">
        <is>
          <t>Amostral</t>
        </is>
      </c>
      <c r="G726" s="8" t="n">
        <v>275938.61</v>
      </c>
      <c r="H726" s="8" t="n">
        <v>275938.61</v>
      </c>
      <c r="I726" s="8">
        <f>G726-H726</f>
        <v/>
      </c>
      <c r="J726" s="11">
        <f>IF(G726=0,0,MIN(1,I726/G726))</f>
        <v/>
      </c>
    </row>
    <row r="727">
      <c r="A727" t="inlineStr">
        <is>
          <t>IMB0071110</t>
        </is>
      </c>
      <c r="B727" t="inlineStr">
        <is>
          <t>Ativos de Óleo e Gás - Peregrino</t>
        </is>
      </c>
      <c r="C727" t="inlineStr">
        <is>
          <t>Prio Tigris</t>
        </is>
      </c>
      <c r="D727" t="inlineStr">
        <is>
          <t>Peregrino</t>
        </is>
      </c>
      <c r="E727" t="inlineStr">
        <is>
          <t>Custo de abandono capitalizado (ARO)</t>
        </is>
      </c>
      <c r="F727" t="inlineStr">
        <is>
          <t>Amostral</t>
        </is>
      </c>
      <c r="G727" s="8" t="n">
        <v>688674.1800000001</v>
      </c>
      <c r="H727" s="8" t="n">
        <v>688674.1800000001</v>
      </c>
      <c r="I727" s="8">
        <f>G727-H727</f>
        <v/>
      </c>
      <c r="J727" s="11">
        <f>IF(G727=0,0,MIN(1,I727/G727))</f>
        <v/>
      </c>
    </row>
    <row r="728">
      <c r="A728" t="inlineStr">
        <is>
          <t>IMB0071196</t>
        </is>
      </c>
      <c r="B728" t="inlineStr">
        <is>
          <t>Ativos de Óleo e Gás - Peregrino</t>
        </is>
      </c>
      <c r="C728" t="inlineStr">
        <is>
          <t>Prio Tigris</t>
        </is>
      </c>
      <c r="D728" t="inlineStr">
        <is>
          <t>Peregrino</t>
        </is>
      </c>
      <c r="E728" t="inlineStr">
        <is>
          <t>Poço injetor - perfuração</t>
        </is>
      </c>
      <c r="F728" t="inlineStr">
        <is>
          <t>Amostral</t>
        </is>
      </c>
      <c r="G728" s="8" t="n">
        <v>8945671.33</v>
      </c>
      <c r="H728" s="8" t="n">
        <v>8945671.33</v>
      </c>
      <c r="I728" s="8">
        <f>G728-H728</f>
        <v/>
      </c>
      <c r="J728" s="11">
        <f>IF(G728=0,0,MIN(1,I728/G728))</f>
        <v/>
      </c>
    </row>
    <row r="729">
      <c r="A729" t="inlineStr">
        <is>
          <t>IMB0071266</t>
        </is>
      </c>
      <c r="B729" t="inlineStr">
        <is>
          <t>Ativos de Óleo e Gás - Peregrino</t>
        </is>
      </c>
      <c r="C729" t="inlineStr">
        <is>
          <t>Prio Tigris</t>
        </is>
      </c>
      <c r="D729" t="inlineStr">
        <is>
          <t>Peregrino</t>
        </is>
      </c>
      <c r="E729" t="inlineStr">
        <is>
          <t>Sistema de gas lift</t>
        </is>
      </c>
      <c r="F729" t="inlineStr">
        <is>
          <t>Amostral</t>
        </is>
      </c>
      <c r="G729" s="8" t="n">
        <v>6758263.12</v>
      </c>
      <c r="H729" s="8" t="n">
        <v>6758263.12</v>
      </c>
      <c r="I729" s="8">
        <f>G729-H729</f>
        <v/>
      </c>
      <c r="J729" s="11">
        <f>IF(G729=0,0,MIN(1,I729/G729))</f>
        <v/>
      </c>
    </row>
    <row r="730">
      <c r="A730" t="inlineStr">
        <is>
          <t>IMB0071346</t>
        </is>
      </c>
      <c r="B730" t="inlineStr">
        <is>
          <t>Ativos de Óleo e Gás - Peregrino</t>
        </is>
      </c>
      <c r="C730" t="inlineStr">
        <is>
          <t>Prio Tigris</t>
        </is>
      </c>
      <c r="D730" t="inlineStr">
        <is>
          <t>Peregrino</t>
        </is>
      </c>
      <c r="E730" t="inlineStr">
        <is>
          <t>Custo de abandono capitalizado (ARO)</t>
        </is>
      </c>
      <c r="F730" t="inlineStr">
        <is>
          <t>Amostral</t>
        </is>
      </c>
      <c r="G730" s="8" t="n">
        <v>23847574.56</v>
      </c>
      <c r="H730" s="8" t="n">
        <v>23847574.56</v>
      </c>
      <c r="I730" s="8">
        <f>G730-H730</f>
        <v/>
      </c>
      <c r="J730" s="11">
        <f>IF(G730=0,0,MIN(1,I730/G730))</f>
        <v/>
      </c>
    </row>
    <row r="731">
      <c r="A731" t="inlineStr">
        <is>
          <t>IMB0071349</t>
        </is>
      </c>
      <c r="B731" t="inlineStr">
        <is>
          <t>Ativos de Óleo e Gás - Peregrino</t>
        </is>
      </c>
      <c r="C731" t="inlineStr">
        <is>
          <t>Prio Tigris</t>
        </is>
      </c>
      <c r="D731" t="inlineStr">
        <is>
          <t>Peregrino</t>
        </is>
      </c>
      <c r="E731" t="inlineStr">
        <is>
          <t>Duto de exportação de gás</t>
        </is>
      </c>
      <c r="F731" t="inlineStr">
        <is>
          <t>Amostral</t>
        </is>
      </c>
      <c r="G731" s="8" t="n">
        <v>6811469.09</v>
      </c>
      <c r="H731" s="8" t="n">
        <v>6811469.09</v>
      </c>
      <c r="I731" s="8">
        <f>G731-H731</f>
        <v/>
      </c>
      <c r="J731" s="11">
        <f>IF(G731=0,0,MIN(1,I731/G731))</f>
        <v/>
      </c>
    </row>
    <row r="732">
      <c r="A732" t="inlineStr">
        <is>
          <t>IMB0071429</t>
        </is>
      </c>
      <c r="B732" t="inlineStr">
        <is>
          <t>Ativos de Óleo e Gás - Peregrino</t>
        </is>
      </c>
      <c r="C732" t="inlineStr">
        <is>
          <t>Prio Tigris</t>
        </is>
      </c>
      <c r="D732" t="inlineStr">
        <is>
          <t>Peregrino</t>
        </is>
      </c>
      <c r="E732" t="inlineStr">
        <is>
          <t>Poço injetor - perfuração</t>
        </is>
      </c>
      <c r="F732" t="inlineStr">
        <is>
          <t>Amostral</t>
        </is>
      </c>
      <c r="G732" s="8" t="n">
        <v>3472631.46</v>
      </c>
      <c r="H732" s="8" t="n">
        <v>3472631.46</v>
      </c>
      <c r="I732" s="8">
        <f>G732-H732</f>
        <v/>
      </c>
      <c r="J732" s="11">
        <f>IF(G732=0,0,MIN(1,I732/G732))</f>
        <v/>
      </c>
    </row>
    <row r="733">
      <c r="A733" t="inlineStr">
        <is>
          <t>IMB0071522</t>
        </is>
      </c>
      <c r="B733" t="inlineStr">
        <is>
          <t>Ativos de Óleo e Gás - Peregrino</t>
        </is>
      </c>
      <c r="C733" t="inlineStr">
        <is>
          <t>Prio Tigris</t>
        </is>
      </c>
      <c r="D733" t="inlineStr">
        <is>
          <t>Peregrino</t>
        </is>
      </c>
      <c r="E733" t="inlineStr">
        <is>
          <t>Árvore de natal molhada (ANM)</t>
        </is>
      </c>
      <c r="F733" t="inlineStr">
        <is>
          <t>Amostral</t>
        </is>
      </c>
      <c r="G733" s="8" t="n">
        <v>767228.95</v>
      </c>
      <c r="H733" s="8" t="n">
        <v>767228.95</v>
      </c>
      <c r="I733" s="8">
        <f>G733-H733</f>
        <v/>
      </c>
      <c r="J733" s="11">
        <f>IF(G733=0,0,MIN(1,I733/G733))</f>
        <v/>
      </c>
    </row>
    <row r="734">
      <c r="A734" t="inlineStr">
        <is>
          <t>IMB0071608</t>
        </is>
      </c>
      <c r="B734" t="inlineStr">
        <is>
          <t>Ativos de Óleo e Gás - Peregrino</t>
        </is>
      </c>
      <c r="C734" t="inlineStr">
        <is>
          <t>Prio Tigris</t>
        </is>
      </c>
      <c r="D734" t="inlineStr">
        <is>
          <t>Peregrino</t>
        </is>
      </c>
      <c r="E734" t="inlineStr">
        <is>
          <t>Umbilical eletro-hidráulico</t>
        </is>
      </c>
      <c r="F734" t="inlineStr">
        <is>
          <t>Amostral</t>
        </is>
      </c>
      <c r="G734" s="8" t="n">
        <v>3065706.9</v>
      </c>
      <c r="H734" s="8" t="n">
        <v>3065706.9</v>
      </c>
      <c r="I734" s="8">
        <f>G734-H734</f>
        <v/>
      </c>
      <c r="J734" s="11">
        <f>IF(G734=0,0,MIN(1,I734/G734))</f>
        <v/>
      </c>
    </row>
    <row r="735">
      <c r="A735" t="inlineStr">
        <is>
          <t>IMB0071719</t>
        </is>
      </c>
      <c r="B735" t="inlineStr">
        <is>
          <t>Ativos de Óleo e Gás - Peregrino</t>
        </is>
      </c>
      <c r="C735" t="inlineStr">
        <is>
          <t>Prio Tigris</t>
        </is>
      </c>
      <c r="D735" t="inlineStr">
        <is>
          <t>Peregrino</t>
        </is>
      </c>
      <c r="E735" t="inlineStr">
        <is>
          <t>Poço produtor - completação</t>
        </is>
      </c>
      <c r="F735" t="inlineStr">
        <is>
          <t>Amostral</t>
        </is>
      </c>
      <c r="G735" s="8" t="n">
        <v>769877.1899999999</v>
      </c>
      <c r="H735" s="8" t="n">
        <v>769877.1899999999</v>
      </c>
      <c r="I735" s="8">
        <f>G735-H735</f>
        <v/>
      </c>
      <c r="J735" s="11">
        <f>IF(G735=0,0,MIN(1,I735/G735))</f>
        <v/>
      </c>
    </row>
    <row r="736">
      <c r="A736" t="inlineStr">
        <is>
          <t>IMB0071805</t>
        </is>
      </c>
      <c r="B736" t="inlineStr">
        <is>
          <t>Ativos de Óleo e Gás - Peregrino</t>
        </is>
      </c>
      <c r="C736" t="inlineStr">
        <is>
          <t>Prio Tigris</t>
        </is>
      </c>
      <c r="D736" t="inlineStr">
        <is>
          <t>Peregrino</t>
        </is>
      </c>
      <c r="E736" t="inlineStr">
        <is>
          <t>Linha flexível de produção</t>
        </is>
      </c>
      <c r="F736" t="inlineStr">
        <is>
          <t>Amostral</t>
        </is>
      </c>
      <c r="G736" s="8" t="n">
        <v>368718.03</v>
      </c>
      <c r="H736" s="8" t="n">
        <v>368718.03</v>
      </c>
      <c r="I736" s="8">
        <f>G736-H736</f>
        <v/>
      </c>
      <c r="J736" s="11">
        <f>IF(G736=0,0,MIN(1,I736/G736))</f>
        <v/>
      </c>
    </row>
    <row r="737">
      <c r="A737" t="inlineStr">
        <is>
          <t>IMB0071912</t>
        </is>
      </c>
      <c r="B737" t="inlineStr">
        <is>
          <t>Ativos de Óleo e Gás - Peregrino</t>
        </is>
      </c>
      <c r="C737" t="inlineStr">
        <is>
          <t>Prio Tigris</t>
        </is>
      </c>
      <c r="D737" t="inlineStr">
        <is>
          <t>Peregrino</t>
        </is>
      </c>
      <c r="E737" t="inlineStr">
        <is>
          <t>Riser flexível</t>
        </is>
      </c>
      <c r="F737" t="inlineStr">
        <is>
          <t>Amostral</t>
        </is>
      </c>
      <c r="G737" s="8" t="n">
        <v>2429698.61</v>
      </c>
      <c r="H737" s="8" t="n">
        <v>2429698.61</v>
      </c>
      <c r="I737" s="8">
        <f>G737-H737</f>
        <v/>
      </c>
      <c r="J737" s="11">
        <f>IF(G737=0,0,MIN(1,I737/G737))</f>
        <v/>
      </c>
    </row>
    <row r="738">
      <c r="A738" t="inlineStr">
        <is>
          <t>IMB0071995</t>
        </is>
      </c>
      <c r="B738" t="inlineStr">
        <is>
          <t>Ativos de Óleo e Gás - Peregrino</t>
        </is>
      </c>
      <c r="C738" t="inlineStr">
        <is>
          <t>Prio Tigris</t>
        </is>
      </c>
      <c r="D738" t="inlineStr">
        <is>
          <t>Peregrino</t>
        </is>
      </c>
      <c r="E738" t="inlineStr">
        <is>
          <t>Poço produtor - completação</t>
        </is>
      </c>
      <c r="F738" t="inlineStr">
        <is>
          <t>Amostral</t>
        </is>
      </c>
      <c r="G738" s="8" t="n">
        <v>27396.59</v>
      </c>
      <c r="H738" s="8" t="n">
        <v>27396.59</v>
      </c>
      <c r="I738" s="8">
        <f>G738-H738</f>
        <v/>
      </c>
      <c r="J738" s="11">
        <f>IF(G738=0,0,MIN(1,I738/G738))</f>
        <v/>
      </c>
    </row>
    <row r="739">
      <c r="A739" t="inlineStr">
        <is>
          <t>IMB0072021</t>
        </is>
      </c>
      <c r="B739" t="inlineStr">
        <is>
          <t>Ativos de Óleo e Gás - Peregrino</t>
        </is>
      </c>
      <c r="C739" t="inlineStr">
        <is>
          <t>Prio Tigris</t>
        </is>
      </c>
      <c r="D739" t="inlineStr">
        <is>
          <t>Peregrino</t>
        </is>
      </c>
      <c r="E739" t="inlineStr">
        <is>
          <t>Poço produtor - completação</t>
        </is>
      </c>
      <c r="F739" t="inlineStr">
        <is>
          <t>Amostral</t>
        </is>
      </c>
      <c r="G739" s="8" t="n">
        <v>65831.87</v>
      </c>
      <c r="H739" s="8" t="n">
        <v>65831.87</v>
      </c>
      <c r="I739" s="8">
        <f>G739-H739</f>
        <v/>
      </c>
      <c r="J739" s="11">
        <f>IF(G739=0,0,MIN(1,I739/G739))</f>
        <v/>
      </c>
    </row>
    <row r="740">
      <c r="A740" t="inlineStr">
        <is>
          <t>IMB0072128</t>
        </is>
      </c>
      <c r="B740" t="inlineStr">
        <is>
          <t>Ativos de Óleo e Gás - Peregrino</t>
        </is>
      </c>
      <c r="C740" t="inlineStr">
        <is>
          <t>Prio Tigris</t>
        </is>
      </c>
      <c r="D740" t="inlineStr">
        <is>
          <t>Peregrino</t>
        </is>
      </c>
      <c r="E740" t="inlineStr">
        <is>
          <t>Equipamento de controle submarino (SCM)</t>
        </is>
      </c>
      <c r="F740" t="inlineStr">
        <is>
          <t>Amostral</t>
        </is>
      </c>
      <c r="G740" s="8" t="n">
        <v>803602.14</v>
      </c>
      <c r="H740" s="8" t="n">
        <v>803602.14</v>
      </c>
      <c r="I740" s="8">
        <f>G740-H740</f>
        <v/>
      </c>
      <c r="J740" s="11">
        <f>IF(G740=0,0,MIN(1,I740/G740))</f>
        <v/>
      </c>
    </row>
    <row r="741">
      <c r="A741" t="inlineStr">
        <is>
          <t>IMB0072183</t>
        </is>
      </c>
      <c r="B741" t="inlineStr">
        <is>
          <t>Ativos de Óleo e Gás - Peregrino</t>
        </is>
      </c>
      <c r="C741" t="inlineStr">
        <is>
          <t>Prio Tigris</t>
        </is>
      </c>
      <c r="D741" t="inlineStr">
        <is>
          <t>Peregrino</t>
        </is>
      </c>
      <c r="E741" t="inlineStr">
        <is>
          <t>Riser flexível</t>
        </is>
      </c>
      <c r="F741" t="inlineStr">
        <is>
          <t>Amostral</t>
        </is>
      </c>
      <c r="G741" s="8" t="n">
        <v>3220442.18</v>
      </c>
      <c r="H741" s="8" t="n">
        <v>3220442.18</v>
      </c>
      <c r="I741" s="8">
        <f>G741-H741</f>
        <v/>
      </c>
      <c r="J741" s="11">
        <f>IF(G741=0,0,MIN(1,I741/G741))</f>
        <v/>
      </c>
    </row>
    <row r="742">
      <c r="A742" t="inlineStr">
        <is>
          <t>IMB0072240</t>
        </is>
      </c>
      <c r="B742" t="inlineStr">
        <is>
          <t>Ativos de Óleo e Gás - Peregrino</t>
        </is>
      </c>
      <c r="C742" t="inlineStr">
        <is>
          <t>Prio Tigris</t>
        </is>
      </c>
      <c r="D742" t="inlineStr">
        <is>
          <t>Peregrino</t>
        </is>
      </c>
      <c r="E742" t="inlineStr">
        <is>
          <t>Bomba centrífuga submersa (BCS)</t>
        </is>
      </c>
      <c r="F742" t="inlineStr">
        <is>
          <t>Amostral</t>
        </is>
      </c>
      <c r="G742" s="8" t="n">
        <v>1161343.04</v>
      </c>
      <c r="H742" s="8" t="n">
        <v>1161343.04</v>
      </c>
      <c r="I742" s="8">
        <f>G742-H742</f>
        <v/>
      </c>
      <c r="J742" s="11">
        <f>IF(G742=0,0,MIN(1,I742/G742))</f>
        <v/>
      </c>
    </row>
    <row r="743">
      <c r="A743" t="inlineStr">
        <is>
          <t>IMB0072292</t>
        </is>
      </c>
      <c r="B743" t="inlineStr">
        <is>
          <t>Ativos de Óleo e Gás - Peregrino</t>
        </is>
      </c>
      <c r="C743" t="inlineStr">
        <is>
          <t>Prio Tigris</t>
        </is>
      </c>
      <c r="D743" t="inlineStr">
        <is>
          <t>Peregrino</t>
        </is>
      </c>
      <c r="E743" t="inlineStr">
        <is>
          <t>Poço injetor - perfuração</t>
        </is>
      </c>
      <c r="F743" t="inlineStr">
        <is>
          <t>Amostral</t>
        </is>
      </c>
      <c r="G743" s="8" t="n">
        <v>2951524.17</v>
      </c>
      <c r="H743" s="8" t="n">
        <v>2951524.17</v>
      </c>
      <c r="I743" s="8">
        <f>G743-H743</f>
        <v/>
      </c>
      <c r="J743" s="11">
        <f>IF(G743=0,0,MIN(1,I743/G743))</f>
        <v/>
      </c>
    </row>
    <row r="744">
      <c r="A744" t="inlineStr">
        <is>
          <t>IMB0072348</t>
        </is>
      </c>
      <c r="B744" t="inlineStr">
        <is>
          <t>Ativos de Óleo e Gás - Peregrino</t>
        </is>
      </c>
      <c r="C744" t="inlineStr">
        <is>
          <t>Prio Tigris</t>
        </is>
      </c>
      <c r="D744" t="inlineStr">
        <is>
          <t>Peregrino</t>
        </is>
      </c>
      <c r="E744" t="inlineStr">
        <is>
          <t>Duto de exportação de gás</t>
        </is>
      </c>
      <c r="F744" t="inlineStr">
        <is>
          <t>Amostral</t>
        </is>
      </c>
      <c r="G744" s="8" t="n">
        <v>3891686.09</v>
      </c>
      <c r="H744" s="8" t="n">
        <v>3891686.09</v>
      </c>
      <c r="I744" s="8">
        <f>G744-H744</f>
        <v/>
      </c>
      <c r="J744" s="11">
        <f>IF(G744=0,0,MIN(1,I744/G744))</f>
        <v/>
      </c>
    </row>
    <row r="745">
      <c r="A745" t="inlineStr">
        <is>
          <t>IMB0072417</t>
        </is>
      </c>
      <c r="B745" t="inlineStr">
        <is>
          <t>Ativos de Óleo e Gás - Peregrino</t>
        </is>
      </c>
      <c r="C745" t="inlineStr">
        <is>
          <t>Prio Tigris</t>
        </is>
      </c>
      <c r="D745" t="inlineStr">
        <is>
          <t>Peregrino</t>
        </is>
      </c>
      <c r="E745" t="inlineStr">
        <is>
          <t>Poço injetor - perfuração</t>
        </is>
      </c>
      <c r="F745" t="inlineStr">
        <is>
          <t>Amostral</t>
        </is>
      </c>
      <c r="G745" s="8" t="n">
        <v>267429.06</v>
      </c>
      <c r="H745" s="8" t="n">
        <v>267429.06</v>
      </c>
      <c r="I745" s="8">
        <f>G745-H745</f>
        <v/>
      </c>
      <c r="J745" s="11">
        <f>IF(G745=0,0,MIN(1,I745/G745))</f>
        <v/>
      </c>
    </row>
    <row r="746">
      <c r="A746" t="inlineStr">
        <is>
          <t>IMB0072507</t>
        </is>
      </c>
      <c r="B746" t="inlineStr">
        <is>
          <t>Ativos de Óleo e Gás - Peregrino</t>
        </is>
      </c>
      <c r="C746" t="inlineStr">
        <is>
          <t>Prio Tigris</t>
        </is>
      </c>
      <c r="D746" t="inlineStr">
        <is>
          <t>Peregrino</t>
        </is>
      </c>
      <c r="E746" t="inlineStr">
        <is>
          <t>Linha flexível de produção</t>
        </is>
      </c>
      <c r="F746" t="inlineStr">
        <is>
          <t>Amostral</t>
        </is>
      </c>
      <c r="G746" s="8" t="n">
        <v>2241252.92</v>
      </c>
      <c r="H746" s="8" t="n">
        <v>2241252.92</v>
      </c>
      <c r="I746" s="8">
        <f>G746-H746</f>
        <v/>
      </c>
      <c r="J746" s="11">
        <f>IF(G746=0,0,MIN(1,I746/G746))</f>
        <v/>
      </c>
    </row>
    <row r="747">
      <c r="A747" t="inlineStr">
        <is>
          <t>IMB0072614</t>
        </is>
      </c>
      <c r="B747" t="inlineStr">
        <is>
          <t>Ativos de Óleo e Gás - Peregrino</t>
        </is>
      </c>
      <c r="C747" t="inlineStr">
        <is>
          <t>Prio Tigris</t>
        </is>
      </c>
      <c r="D747" t="inlineStr">
        <is>
          <t>Peregrino</t>
        </is>
      </c>
      <c r="E747" t="inlineStr">
        <is>
          <t>Sistema de gas lift</t>
        </is>
      </c>
      <c r="F747" t="inlineStr">
        <is>
          <t>Amostral</t>
        </is>
      </c>
      <c r="G747" s="8" t="n">
        <v>558557.99</v>
      </c>
      <c r="H747" s="8" t="n">
        <v>558557.99</v>
      </c>
      <c r="I747" s="8">
        <f>G747-H747</f>
        <v/>
      </c>
      <c r="J747" s="11">
        <f>IF(G747=0,0,MIN(1,I747/G747))</f>
        <v/>
      </c>
    </row>
    <row r="748">
      <c r="A748" t="inlineStr">
        <is>
          <t>IMB0072669</t>
        </is>
      </c>
      <c r="B748" t="inlineStr">
        <is>
          <t>Ativos de Óleo e Gás - Peregrino</t>
        </is>
      </c>
      <c r="C748" t="inlineStr">
        <is>
          <t>Prio Tigris</t>
        </is>
      </c>
      <c r="D748" t="inlineStr">
        <is>
          <t>Peregrino</t>
        </is>
      </c>
      <c r="E748" t="inlineStr">
        <is>
          <t>Custo de abandono capitalizado (ARO)</t>
        </is>
      </c>
      <c r="F748" t="inlineStr">
        <is>
          <t>Amostral</t>
        </is>
      </c>
      <c r="G748" s="8" t="n">
        <v>2149637.19</v>
      </c>
      <c r="H748" s="8" t="n">
        <v>2149637.19</v>
      </c>
      <c r="I748" s="8">
        <f>G748-H748</f>
        <v/>
      </c>
      <c r="J748" s="11">
        <f>IF(G748=0,0,MIN(1,I748/G748))</f>
        <v/>
      </c>
    </row>
    <row r="749">
      <c r="A749" t="inlineStr">
        <is>
          <t>IMB0072727</t>
        </is>
      </c>
      <c r="B749" t="inlineStr">
        <is>
          <t>Ativos de Óleo e Gás - Peregrino</t>
        </is>
      </c>
      <c r="C749" t="inlineStr">
        <is>
          <t>Prio Tigris</t>
        </is>
      </c>
      <c r="D749" t="inlineStr">
        <is>
          <t>Peregrino</t>
        </is>
      </c>
      <c r="E749" t="inlineStr">
        <is>
          <t>Equipamento de controle submarino (SCM)</t>
        </is>
      </c>
      <c r="F749" t="inlineStr">
        <is>
          <t>Amostral</t>
        </is>
      </c>
      <c r="G749" s="8" t="n">
        <v>1287471.08</v>
      </c>
      <c r="H749" s="8" t="n">
        <v>1287471.08</v>
      </c>
      <c r="I749" s="8">
        <f>G749-H749</f>
        <v/>
      </c>
      <c r="J749" s="11">
        <f>IF(G749=0,0,MIN(1,I749/G749))</f>
        <v/>
      </c>
    </row>
    <row r="750">
      <c r="A750" t="inlineStr">
        <is>
          <t>IMB0072794</t>
        </is>
      </c>
      <c r="B750" t="inlineStr">
        <is>
          <t>Ativos de Óleo e Gás - Peregrino</t>
        </is>
      </c>
      <c r="C750" t="inlineStr">
        <is>
          <t>Prio Tigris</t>
        </is>
      </c>
      <c r="D750" t="inlineStr">
        <is>
          <t>Peregrino</t>
        </is>
      </c>
      <c r="E750" t="inlineStr">
        <is>
          <t>Poço produtor - perfuração</t>
        </is>
      </c>
      <c r="F750" t="inlineStr">
        <is>
          <t>Amostral</t>
        </is>
      </c>
      <c r="G750" s="8" t="n">
        <v>68687.11</v>
      </c>
      <c r="H750" s="8" t="n">
        <v>68687.11</v>
      </c>
      <c r="I750" s="8">
        <f>G750-H750</f>
        <v/>
      </c>
      <c r="J750" s="11">
        <f>IF(G750=0,0,MIN(1,I750/G750))</f>
        <v/>
      </c>
    </row>
    <row r="751">
      <c r="A751" t="inlineStr">
        <is>
          <t>IMB0072822</t>
        </is>
      </c>
      <c r="B751" t="inlineStr">
        <is>
          <t>Ativos de Óleo e Gás - Peregrino</t>
        </is>
      </c>
      <c r="C751" t="inlineStr">
        <is>
          <t>Prio Tigris</t>
        </is>
      </c>
      <c r="D751" t="inlineStr">
        <is>
          <t>Peregrino</t>
        </is>
      </c>
      <c r="E751" t="inlineStr">
        <is>
          <t>Duto de exportação de gás</t>
        </is>
      </c>
      <c r="F751" t="inlineStr">
        <is>
          <t>Topo (&gt;= intervalo)</t>
        </is>
      </c>
      <c r="G751" s="8" t="n">
        <v>32333620.79</v>
      </c>
      <c r="H751" s="8" t="n">
        <v>32333620.79</v>
      </c>
      <c r="I751" s="8">
        <f>G751-H751</f>
        <v/>
      </c>
      <c r="J751" s="11">
        <f>IF(G751=0,0,MIN(1,I751/G751))</f>
        <v/>
      </c>
    </row>
    <row r="752">
      <c r="A752" t="inlineStr">
        <is>
          <t>IMB0072854</t>
        </is>
      </c>
      <c r="B752" t="inlineStr">
        <is>
          <t>Ativos de Óleo e Gás - Peregrino</t>
        </is>
      </c>
      <c r="C752" t="inlineStr">
        <is>
          <t>Prio Tigris</t>
        </is>
      </c>
      <c r="D752" t="inlineStr">
        <is>
          <t>Peregrino</t>
        </is>
      </c>
      <c r="E752" t="inlineStr">
        <is>
          <t>Sistema de gas lift</t>
        </is>
      </c>
      <c r="F752" t="inlineStr">
        <is>
          <t>Amostral</t>
        </is>
      </c>
      <c r="G752" s="8" t="n">
        <v>2505277.1</v>
      </c>
      <c r="H752" s="8" t="n">
        <v>2505277.1</v>
      </c>
      <c r="I752" s="8">
        <f>G752-H752</f>
        <v/>
      </c>
      <c r="J752" s="11">
        <f>IF(G752=0,0,MIN(1,I752/G752))</f>
        <v/>
      </c>
    </row>
    <row r="753">
      <c r="A753" t="inlineStr">
        <is>
          <t>IMB0072944</t>
        </is>
      </c>
      <c r="B753" t="inlineStr">
        <is>
          <t>Ativos de Óleo e Gás - Peregrino</t>
        </is>
      </c>
      <c r="C753" t="inlineStr">
        <is>
          <t>Prio Tigris</t>
        </is>
      </c>
      <c r="D753" t="inlineStr">
        <is>
          <t>Peregrino</t>
        </is>
      </c>
      <c r="E753" t="inlineStr">
        <is>
          <t>Riser flexível</t>
        </is>
      </c>
      <c r="F753" t="inlineStr">
        <is>
          <t>Amostral</t>
        </is>
      </c>
      <c r="G753" s="8" t="n">
        <v>8732389.24</v>
      </c>
      <c r="H753" s="8" t="n">
        <v>8732389.24</v>
      </c>
      <c r="I753" s="8">
        <f>G753-H753</f>
        <v/>
      </c>
      <c r="J753" s="11">
        <f>IF(G753=0,0,MIN(1,I753/G753))</f>
        <v/>
      </c>
    </row>
    <row r="754">
      <c r="A754" t="inlineStr">
        <is>
          <t>IMB0072983</t>
        </is>
      </c>
      <c r="B754" t="inlineStr">
        <is>
          <t>Ativos de Óleo e Gás - Peregrino</t>
        </is>
      </c>
      <c r="C754" t="inlineStr">
        <is>
          <t>Prio Tigris</t>
        </is>
      </c>
      <c r="D754" t="inlineStr">
        <is>
          <t>Peregrino</t>
        </is>
      </c>
      <c r="E754" t="inlineStr">
        <is>
          <t>Manifold submarino</t>
        </is>
      </c>
      <c r="F754" t="inlineStr">
        <is>
          <t>Amostral</t>
        </is>
      </c>
      <c r="G754" s="8" t="n">
        <v>888874.73</v>
      </c>
      <c r="H754" s="8" t="n">
        <v>888874.73</v>
      </c>
      <c r="I754" s="8">
        <f>G754-H754</f>
        <v/>
      </c>
      <c r="J754" s="11">
        <f>IF(G754=0,0,MIN(1,I754/G754))</f>
        <v/>
      </c>
    </row>
    <row r="755">
      <c r="A755" t="inlineStr">
        <is>
          <t>IMB0073075</t>
        </is>
      </c>
      <c r="B755" t="inlineStr">
        <is>
          <t>Ativos de Óleo e Gás - Albacora Leste</t>
        </is>
      </c>
      <c r="C755" t="inlineStr">
        <is>
          <t>Prio Forte</t>
        </is>
      </c>
      <c r="D755" t="inlineStr">
        <is>
          <t>Albacora Leste</t>
        </is>
      </c>
      <c r="E755" t="inlineStr">
        <is>
          <t>Poço injetor - perfuração</t>
        </is>
      </c>
      <c r="F755" t="inlineStr">
        <is>
          <t>Amostral</t>
        </is>
      </c>
      <c r="G755" s="8" t="n">
        <v>175241.33</v>
      </c>
      <c r="H755" s="8" t="n">
        <v>175241.33</v>
      </c>
      <c r="I755" s="8">
        <f>G755-H755</f>
        <v/>
      </c>
      <c r="J755" s="11">
        <f>IF(G755=0,0,MIN(1,I755/G755))</f>
        <v/>
      </c>
    </row>
    <row r="756">
      <c r="A756" t="inlineStr">
        <is>
          <t>IMB0073198</t>
        </is>
      </c>
      <c r="B756" t="inlineStr">
        <is>
          <t>Ativos de Óleo e Gás - Albacora Leste</t>
        </is>
      </c>
      <c r="C756" t="inlineStr">
        <is>
          <t>Prio Forte</t>
        </is>
      </c>
      <c r="D756" t="inlineStr">
        <is>
          <t>Albacora Leste</t>
        </is>
      </c>
      <c r="E756" t="inlineStr">
        <is>
          <t>Linha flexível de produção</t>
        </is>
      </c>
      <c r="F756" t="inlineStr">
        <is>
          <t>Amostral</t>
        </is>
      </c>
      <c r="G756" s="8" t="n">
        <v>165065.39</v>
      </c>
      <c r="H756" s="8" t="n">
        <v>165065.39</v>
      </c>
      <c r="I756" s="8">
        <f>G756-H756</f>
        <v/>
      </c>
      <c r="J756" s="11">
        <f>IF(G756=0,0,MIN(1,I756/G756))</f>
        <v/>
      </c>
    </row>
    <row r="757">
      <c r="A757" t="inlineStr">
        <is>
          <t>IMB0073307</t>
        </is>
      </c>
      <c r="B757" t="inlineStr">
        <is>
          <t>Ativos de Óleo e Gás - Albacora Leste</t>
        </is>
      </c>
      <c r="C757" t="inlineStr">
        <is>
          <t>Prio Forte</t>
        </is>
      </c>
      <c r="D757" t="inlineStr">
        <is>
          <t>Albacora Leste</t>
        </is>
      </c>
      <c r="E757" t="inlineStr">
        <is>
          <t>Linha flexível de produção</t>
        </is>
      </c>
      <c r="F757" t="inlineStr">
        <is>
          <t>Amostral</t>
        </is>
      </c>
      <c r="G757" s="8" t="n">
        <v>372634.22</v>
      </c>
      <c r="H757" s="8" t="n">
        <v>372634.22</v>
      </c>
      <c r="I757" s="8">
        <f>G757-H757</f>
        <v/>
      </c>
      <c r="J757" s="11">
        <f>IF(G757=0,0,MIN(1,I757/G757))</f>
        <v/>
      </c>
    </row>
    <row r="758">
      <c r="A758" t="inlineStr">
        <is>
          <t>IMB0073444</t>
        </is>
      </c>
      <c r="B758" t="inlineStr">
        <is>
          <t>Ativos de Óleo e Gás - Albacora Leste</t>
        </is>
      </c>
      <c r="C758" t="inlineStr">
        <is>
          <t>Prio Forte</t>
        </is>
      </c>
      <c r="D758" t="inlineStr">
        <is>
          <t>Albacora Leste</t>
        </is>
      </c>
      <c r="E758" t="inlineStr">
        <is>
          <t>Manifold submarino</t>
        </is>
      </c>
      <c r="F758" t="inlineStr">
        <is>
          <t>Amostral</t>
        </is>
      </c>
      <c r="G758" s="8" t="n">
        <v>29640.41</v>
      </c>
      <c r="H758" s="8" t="n">
        <v>29640.41</v>
      </c>
      <c r="I758" s="8">
        <f>G758-H758</f>
        <v/>
      </c>
      <c r="J758" s="11">
        <f>IF(G758=0,0,MIN(1,I758/G758))</f>
        <v/>
      </c>
    </row>
    <row r="759">
      <c r="A759" t="inlineStr">
        <is>
          <t>IMB0073547</t>
        </is>
      </c>
      <c r="B759" t="inlineStr">
        <is>
          <t>Ativos de Óleo e Gás - Albacora Leste</t>
        </is>
      </c>
      <c r="C759" t="inlineStr">
        <is>
          <t>Prio Forte</t>
        </is>
      </c>
      <c r="D759" t="inlineStr">
        <is>
          <t>Albacora Leste</t>
        </is>
      </c>
      <c r="E759" t="inlineStr">
        <is>
          <t>Poço produtor - completação</t>
        </is>
      </c>
      <c r="F759" t="inlineStr">
        <is>
          <t>Amostral</t>
        </is>
      </c>
      <c r="G759" s="8" t="n">
        <v>2090424</v>
      </c>
      <c r="H759" s="8" t="n">
        <v>2090424</v>
      </c>
      <c r="I759" s="8">
        <f>G759-H759</f>
        <v/>
      </c>
      <c r="J759" s="11">
        <f>IF(G759=0,0,MIN(1,I759/G759))</f>
        <v/>
      </c>
    </row>
    <row r="760">
      <c r="A760" t="inlineStr">
        <is>
          <t>IMB0073665</t>
        </is>
      </c>
      <c r="B760" t="inlineStr">
        <is>
          <t>Ativos de Óleo e Gás - Albacora Leste</t>
        </is>
      </c>
      <c r="C760" t="inlineStr">
        <is>
          <t>Prio Forte</t>
        </is>
      </c>
      <c r="D760" t="inlineStr">
        <is>
          <t>Albacora Leste</t>
        </is>
      </c>
      <c r="E760" t="inlineStr">
        <is>
          <t>Custo de abandono capitalizado (ARO)</t>
        </is>
      </c>
      <c r="F760" t="inlineStr">
        <is>
          <t>Amostral</t>
        </is>
      </c>
      <c r="G760" s="8" t="n">
        <v>368044.99</v>
      </c>
      <c r="H760" s="8" t="n">
        <v>368044.99</v>
      </c>
      <c r="I760" s="8">
        <f>G760-H760</f>
        <v/>
      </c>
      <c r="J760" s="11">
        <f>IF(G760=0,0,MIN(1,I760/G760))</f>
        <v/>
      </c>
    </row>
    <row r="761">
      <c r="A761" t="inlineStr">
        <is>
          <t>IMB0073757</t>
        </is>
      </c>
      <c r="B761" t="inlineStr">
        <is>
          <t>Ativos de Óleo e Gás - Albacora Leste</t>
        </is>
      </c>
      <c r="C761" t="inlineStr">
        <is>
          <t>Prio Forte</t>
        </is>
      </c>
      <c r="D761" t="inlineStr">
        <is>
          <t>Albacora Leste</t>
        </is>
      </c>
      <c r="E761" t="inlineStr">
        <is>
          <t>Sistema de gas lift</t>
        </is>
      </c>
      <c r="F761" t="inlineStr">
        <is>
          <t>Amostral</t>
        </is>
      </c>
      <c r="G761" s="8" t="n">
        <v>73956.56</v>
      </c>
      <c r="H761" s="8" t="n">
        <v>73956.56</v>
      </c>
      <c r="I761" s="8">
        <f>G761-H761</f>
        <v/>
      </c>
      <c r="J761" s="11">
        <f>IF(G761=0,0,MIN(1,I761/G761))</f>
        <v/>
      </c>
    </row>
    <row r="762">
      <c r="A762" t="inlineStr">
        <is>
          <t>IMB0073903</t>
        </is>
      </c>
      <c r="B762" t="inlineStr">
        <is>
          <t>Ativos de Óleo e Gás - Albacora Leste</t>
        </is>
      </c>
      <c r="C762" t="inlineStr">
        <is>
          <t>Prio Forte</t>
        </is>
      </c>
      <c r="D762" t="inlineStr">
        <is>
          <t>Albacora Leste</t>
        </is>
      </c>
      <c r="E762" t="inlineStr">
        <is>
          <t>Equipamento de controle submarino (SCM)</t>
        </is>
      </c>
      <c r="F762" t="inlineStr">
        <is>
          <t>Amostral</t>
        </is>
      </c>
      <c r="G762" s="8" t="n">
        <v>773576.55</v>
      </c>
      <c r="H762" s="8" t="n">
        <v>773576.55</v>
      </c>
      <c r="I762" s="8">
        <f>G762-H762</f>
        <v/>
      </c>
      <c r="J762" s="11">
        <f>IF(G762=0,0,MIN(1,I762/G762))</f>
        <v/>
      </c>
    </row>
    <row r="763">
      <c r="A763" t="inlineStr">
        <is>
          <t>IMB0074007</t>
        </is>
      </c>
      <c r="B763" t="inlineStr">
        <is>
          <t>Ativos de Óleo e Gás - Albacora Leste</t>
        </is>
      </c>
      <c r="C763" t="inlineStr">
        <is>
          <t>Prio Forte</t>
        </is>
      </c>
      <c r="D763" t="inlineStr">
        <is>
          <t>Albacora Leste</t>
        </is>
      </c>
      <c r="E763" t="inlineStr">
        <is>
          <t>Poço produtor - completação</t>
        </is>
      </c>
      <c r="F763" t="inlineStr">
        <is>
          <t>Amostral</t>
        </is>
      </c>
      <c r="G763" s="8" t="n">
        <v>1194147.7</v>
      </c>
      <c r="H763" s="8" t="n">
        <v>1194147.7</v>
      </c>
      <c r="I763" s="8">
        <f>G763-H763</f>
        <v/>
      </c>
      <c r="J763" s="11">
        <f>IF(G763=0,0,MIN(1,I763/G763))</f>
        <v/>
      </c>
    </row>
    <row r="764">
      <c r="A764" t="inlineStr">
        <is>
          <t>IMB0074120</t>
        </is>
      </c>
      <c r="B764" t="inlineStr">
        <is>
          <t>Ativos de Óleo e Gás - Albacora Leste</t>
        </is>
      </c>
      <c r="C764" t="inlineStr">
        <is>
          <t>Prio Forte</t>
        </is>
      </c>
      <c r="D764" t="inlineStr">
        <is>
          <t>Albacora Leste</t>
        </is>
      </c>
      <c r="E764" t="inlineStr">
        <is>
          <t>Linha flexível de produção</t>
        </is>
      </c>
      <c r="F764" t="inlineStr">
        <is>
          <t>Amostral</t>
        </is>
      </c>
      <c r="G764" s="8" t="n">
        <v>1127237.93</v>
      </c>
      <c r="H764" s="8" t="n">
        <v>1127237.93</v>
      </c>
      <c r="I764" s="8">
        <f>G764-H764</f>
        <v/>
      </c>
      <c r="J764" s="11">
        <f>IF(G764=0,0,MIN(1,I764/G764))</f>
        <v/>
      </c>
    </row>
    <row r="765">
      <c r="A765" t="inlineStr">
        <is>
          <t>IMB0074268</t>
        </is>
      </c>
      <c r="B765" t="inlineStr">
        <is>
          <t>Ativos de Óleo e Gás - Albacora Leste</t>
        </is>
      </c>
      <c r="C765" t="inlineStr">
        <is>
          <t>Prio Forte</t>
        </is>
      </c>
      <c r="D765" t="inlineStr">
        <is>
          <t>Albacora Leste</t>
        </is>
      </c>
      <c r="E765" t="inlineStr">
        <is>
          <t>Poço produtor - completação</t>
        </is>
      </c>
      <c r="F765" t="inlineStr">
        <is>
          <t>Amostral</t>
        </is>
      </c>
      <c r="G765" s="8" t="n">
        <v>723966.36</v>
      </c>
      <c r="H765" s="8" t="n">
        <v>723966.36</v>
      </c>
      <c r="I765" s="8">
        <f>G765-H765</f>
        <v/>
      </c>
      <c r="J765" s="11">
        <f>IF(G765=0,0,MIN(1,I765/G765))</f>
        <v/>
      </c>
    </row>
    <row r="766">
      <c r="A766" t="inlineStr">
        <is>
          <t>IMB0074394</t>
        </is>
      </c>
      <c r="B766" t="inlineStr">
        <is>
          <t>Ativos de Óleo e Gás - Albacora Leste</t>
        </is>
      </c>
      <c r="C766" t="inlineStr">
        <is>
          <t>Prio Forte</t>
        </is>
      </c>
      <c r="D766" t="inlineStr">
        <is>
          <t>Albacora Leste</t>
        </is>
      </c>
      <c r="E766" t="inlineStr">
        <is>
          <t>Riser flexível</t>
        </is>
      </c>
      <c r="F766" t="inlineStr">
        <is>
          <t>Amostral</t>
        </is>
      </c>
      <c r="G766" s="8" t="n">
        <v>548117.88</v>
      </c>
      <c r="H766" s="8" t="n">
        <v>548117.88</v>
      </c>
      <c r="I766" s="8">
        <f>G766-H766</f>
        <v/>
      </c>
      <c r="J766" s="11">
        <f>IF(G766=0,0,MIN(1,I766/G766))</f>
        <v/>
      </c>
    </row>
    <row r="767">
      <c r="A767" t="inlineStr">
        <is>
          <t>IMB0074498</t>
        </is>
      </c>
      <c r="B767" t="inlineStr">
        <is>
          <t>Ativos de Óleo e Gás - Albacora Leste</t>
        </is>
      </c>
      <c r="C767" t="inlineStr">
        <is>
          <t>Prio Forte</t>
        </is>
      </c>
      <c r="D767" t="inlineStr">
        <is>
          <t>Albacora Leste</t>
        </is>
      </c>
      <c r="E767" t="inlineStr">
        <is>
          <t>Linha flexível de produção</t>
        </is>
      </c>
      <c r="F767" t="inlineStr">
        <is>
          <t>Amostral</t>
        </is>
      </c>
      <c r="G767" s="8" t="n">
        <v>4392702.39</v>
      </c>
      <c r="H767" s="8" t="n">
        <v>4392702.39</v>
      </c>
      <c r="I767" s="8">
        <f>G767-H767</f>
        <v/>
      </c>
      <c r="J767" s="11">
        <f>IF(G767=0,0,MIN(1,I767/G767))</f>
        <v/>
      </c>
    </row>
    <row r="768">
      <c r="A768" t="inlineStr">
        <is>
          <t>IMB0076100</t>
        </is>
      </c>
      <c r="B768" t="inlineStr">
        <is>
          <t>Revitalização de Poços (workover)</t>
        </is>
      </c>
      <c r="C768" t="inlineStr">
        <is>
          <t>Prio Bravo</t>
        </is>
      </c>
      <c r="D768" t="inlineStr">
        <is>
          <t>Polvo &amp; TBMT</t>
        </is>
      </c>
      <c r="E768" t="inlineStr">
        <is>
          <t>Estimulação ácida</t>
        </is>
      </c>
      <c r="F768" t="inlineStr">
        <is>
          <t>Amostral</t>
        </is>
      </c>
      <c r="G768" s="8" t="n">
        <v>441561.57</v>
      </c>
      <c r="H768" s="8" t="n">
        <v>441561.57</v>
      </c>
      <c r="I768" s="8">
        <f>G768-H768</f>
        <v/>
      </c>
      <c r="J768" s="11">
        <f>IF(G768=0,0,MIN(1,I768/G768))</f>
        <v/>
      </c>
    </row>
    <row r="769">
      <c r="A769" t="inlineStr">
        <is>
          <t>IMB0077650</t>
        </is>
      </c>
      <c r="B769" t="inlineStr">
        <is>
          <t>Revitalização de Poços (workover)</t>
        </is>
      </c>
      <c r="C769" t="inlineStr">
        <is>
          <t>Prio Bravo</t>
        </is>
      </c>
      <c r="D769" t="inlineStr">
        <is>
          <t>Polvo &amp; TBMT</t>
        </is>
      </c>
      <c r="E769" t="inlineStr">
        <is>
          <t>Reabertura de poço hidratado</t>
        </is>
      </c>
      <c r="F769" t="inlineStr">
        <is>
          <t>Amostral</t>
        </is>
      </c>
      <c r="G769" s="8" t="n">
        <v>68510.32000000001</v>
      </c>
      <c r="H769" s="8" t="n">
        <v>68510.32000000001</v>
      </c>
      <c r="I769" s="8">
        <f>G769-H769</f>
        <v/>
      </c>
      <c r="J769" s="11">
        <f>IF(G769=0,0,MIN(1,I769/G769))</f>
        <v/>
      </c>
    </row>
    <row r="770">
      <c r="A770" t="inlineStr">
        <is>
          <t>IMB0079583</t>
        </is>
      </c>
      <c r="B770" t="inlineStr">
        <is>
          <t>Revitalização de Poços (workover)</t>
        </is>
      </c>
      <c r="C770" t="inlineStr">
        <is>
          <t>Prio Forte</t>
        </is>
      </c>
      <c r="D770" t="inlineStr">
        <is>
          <t>Albacora Leste</t>
        </is>
      </c>
      <c r="E770" t="inlineStr">
        <is>
          <t>Reabertura de poço hidratado</t>
        </is>
      </c>
      <c r="F770" t="inlineStr">
        <is>
          <t>Amostral</t>
        </is>
      </c>
      <c r="G770" s="8" t="n">
        <v>130721.25</v>
      </c>
      <c r="H770" s="8" t="n">
        <v>130721.25</v>
      </c>
      <c r="I770" s="8">
        <f>G770-H770</f>
        <v/>
      </c>
      <c r="J770" s="11">
        <f>IF(G770=0,0,MIN(1,I770/G770))</f>
        <v/>
      </c>
    </row>
    <row r="771">
      <c r="A771" t="inlineStr">
        <is>
          <t>IMB0080611</t>
        </is>
      </c>
      <c r="B771" t="inlineStr">
        <is>
          <t>Embarcação Gênesis I</t>
        </is>
      </c>
      <c r="C771" t="inlineStr">
        <is>
          <t>Prio Forte</t>
        </is>
      </c>
      <c r="D771" t="inlineStr">
        <is>
          <t>Wahoo</t>
        </is>
      </c>
      <c r="E771" t="inlineStr">
        <is>
          <t>Revitalização de motores</t>
        </is>
      </c>
      <c r="F771" t="inlineStr">
        <is>
          <t>Amostral</t>
        </is>
      </c>
      <c r="G771" s="8" t="n">
        <v>429686.34</v>
      </c>
      <c r="H771" s="8" t="n">
        <v>429686.34</v>
      </c>
      <c r="I771" s="8">
        <f>G771-H771</f>
        <v/>
      </c>
      <c r="J771" s="11">
        <f>IF(G771=0,0,MIN(1,I771/G771))</f>
        <v/>
      </c>
    </row>
    <row r="772">
      <c r="A772" t="inlineStr">
        <is>
          <t>IMB0080811</t>
        </is>
      </c>
      <c r="B772" t="inlineStr">
        <is>
          <t>Embarcação Gênesis I</t>
        </is>
      </c>
      <c r="C772" t="inlineStr">
        <is>
          <t>Prio Forte</t>
        </is>
      </c>
      <c r="D772" t="inlineStr">
        <is>
          <t>Wahoo</t>
        </is>
      </c>
      <c r="E772" t="inlineStr">
        <is>
          <t>Casco - Gênesis I</t>
        </is>
      </c>
      <c r="F772" t="inlineStr">
        <is>
          <t>Amostral</t>
        </is>
      </c>
      <c r="G772" s="8" t="n">
        <v>117480.73</v>
      </c>
      <c r="H772" s="8" t="n">
        <v>117480.73</v>
      </c>
      <c r="I772" s="8">
        <f>G772-H772</f>
        <v/>
      </c>
      <c r="J772" s="11">
        <f>IF(G772=0,0,MIN(1,I772/G772))</f>
        <v/>
      </c>
    </row>
    <row r="773">
      <c r="A773" t="inlineStr">
        <is>
          <t>IMB0081038</t>
        </is>
      </c>
      <c r="B773" t="inlineStr">
        <is>
          <t>Embarcação Gênesis I</t>
        </is>
      </c>
      <c r="C773" t="inlineStr">
        <is>
          <t>Prio Forte</t>
        </is>
      </c>
      <c r="D773" t="inlineStr">
        <is>
          <t>Wahoo</t>
        </is>
      </c>
      <c r="E773" t="inlineStr">
        <is>
          <t>Sistema de lançamento de linhas</t>
        </is>
      </c>
      <c r="F773" t="inlineStr">
        <is>
          <t>Amostral</t>
        </is>
      </c>
      <c r="G773" s="8" t="n">
        <v>150868.66</v>
      </c>
      <c r="H773" s="8" t="n">
        <v>150868.66</v>
      </c>
      <c r="I773" s="8">
        <f>G773-H773</f>
        <v/>
      </c>
      <c r="J773" s="11">
        <f>IF(G773=0,0,MIN(1,I773/G773))</f>
        <v/>
      </c>
    </row>
    <row r="774">
      <c r="A774" t="inlineStr">
        <is>
          <t>IMB0081219</t>
        </is>
      </c>
      <c r="B774" t="inlineStr">
        <is>
          <t>Embarcação Gênesis I</t>
        </is>
      </c>
      <c r="C774" t="inlineStr">
        <is>
          <t>Prio Forte</t>
        </is>
      </c>
      <c r="D774" t="inlineStr">
        <is>
          <t>Wahoo</t>
        </is>
      </c>
      <c r="E774" t="inlineStr">
        <is>
          <t>Casco - Gênesis I</t>
        </is>
      </c>
      <c r="F774" t="inlineStr">
        <is>
          <t>Amostral</t>
        </is>
      </c>
      <c r="G774" s="8" t="n">
        <v>472379.63</v>
      </c>
      <c r="H774" s="8" t="n">
        <v>472379.63</v>
      </c>
      <c r="I774" s="8">
        <f>G774-H774</f>
        <v/>
      </c>
      <c r="J774" s="11">
        <f>IF(G774=0,0,MIN(1,I774/G774))</f>
        <v/>
      </c>
    </row>
    <row r="775">
      <c r="A775" t="inlineStr">
        <is>
          <t>IMB0081384</t>
        </is>
      </c>
      <c r="B775" t="inlineStr">
        <is>
          <t>Embarcação Gênesis I</t>
        </is>
      </c>
      <c r="C775" t="inlineStr">
        <is>
          <t>Prio Forte</t>
        </is>
      </c>
      <c r="D775" t="inlineStr">
        <is>
          <t>Wahoo</t>
        </is>
      </c>
      <c r="E775" t="inlineStr">
        <is>
          <t>Guindaste - Gênesis I</t>
        </is>
      </c>
      <c r="F775" t="inlineStr">
        <is>
          <t>Amostral</t>
        </is>
      </c>
      <c r="G775" s="8" t="n">
        <v>120682.52</v>
      </c>
      <c r="H775" s="8" t="n">
        <v>120682.52</v>
      </c>
      <c r="I775" s="8">
        <f>G775-H775</f>
        <v/>
      </c>
      <c r="J775" s="11">
        <f>IF(G775=0,0,MIN(1,I775/G775))</f>
        <v/>
      </c>
    </row>
    <row r="776">
      <c r="A776" t="inlineStr">
        <is>
          <t>IMB0081624</t>
        </is>
      </c>
      <c r="B776" t="inlineStr">
        <is>
          <t>Embarcação Gênesis I</t>
        </is>
      </c>
      <c r="C776" t="inlineStr">
        <is>
          <t>Prio Forte</t>
        </is>
      </c>
      <c r="D776" t="inlineStr">
        <is>
          <t>Wahoo</t>
        </is>
      </c>
      <c r="E776" t="inlineStr">
        <is>
          <t>Sistema de lançamento de linhas</t>
        </is>
      </c>
      <c r="F776" t="inlineStr">
        <is>
          <t>Amostral</t>
        </is>
      </c>
      <c r="G776" s="8" t="n">
        <v>155253.93</v>
      </c>
      <c r="H776" s="8" t="n">
        <v>155253.93</v>
      </c>
      <c r="I776" s="8">
        <f>G776-H776</f>
        <v/>
      </c>
      <c r="J776" s="11">
        <f>IF(G776=0,0,MIN(1,I776/G776))</f>
        <v/>
      </c>
    </row>
    <row r="777">
      <c r="A777" t="inlineStr">
        <is>
          <t>IMB0081788</t>
        </is>
      </c>
      <c r="B777" t="inlineStr">
        <is>
          <t>Embarcação Gênesis I</t>
        </is>
      </c>
      <c r="C777" t="inlineStr">
        <is>
          <t>Prio Forte</t>
        </is>
      </c>
      <c r="D777" t="inlineStr">
        <is>
          <t>Wahoo</t>
        </is>
      </c>
      <c r="E777" t="inlineStr">
        <is>
          <t>Revitalização de motores</t>
        </is>
      </c>
      <c r="F777" t="inlineStr">
        <is>
          <t>Amostral</t>
        </is>
      </c>
      <c r="G777" s="8" t="n">
        <v>1691843.16</v>
      </c>
      <c r="H777" s="8" t="n">
        <v>1691843.16</v>
      </c>
      <c r="I777" s="8">
        <f>G777-H777</f>
        <v/>
      </c>
      <c r="J777" s="11">
        <f>IF(G777=0,0,MIN(1,I777/G777))</f>
        <v/>
      </c>
    </row>
    <row r="778">
      <c r="A778" t="inlineStr">
        <is>
          <t>IMB0081974</t>
        </is>
      </c>
      <c r="B778" t="inlineStr">
        <is>
          <t>Embarcação Gênesis I</t>
        </is>
      </c>
      <c r="C778" t="inlineStr">
        <is>
          <t>Prio Forte</t>
        </is>
      </c>
      <c r="D778" t="inlineStr">
        <is>
          <t>Wahoo</t>
        </is>
      </c>
      <c r="E778" t="inlineStr">
        <is>
          <t>Casco - Gênesis I</t>
        </is>
      </c>
      <c r="F778" t="inlineStr">
        <is>
          <t>Amostral</t>
        </is>
      </c>
      <c r="G778" s="8" t="n">
        <v>1274535.41</v>
      </c>
      <c r="H778" s="8" t="n">
        <v>1274535.41</v>
      </c>
      <c r="I778" s="8">
        <f>G778-H778</f>
        <v/>
      </c>
      <c r="J778" s="11">
        <f>IF(G778=0,0,MIN(1,I778/G778))</f>
        <v/>
      </c>
    </row>
    <row r="779">
      <c r="A779" t="inlineStr">
        <is>
          <t>IMB0082157</t>
        </is>
      </c>
      <c r="B779" t="inlineStr">
        <is>
          <t>Embarcação Gênesis I</t>
        </is>
      </c>
      <c r="C779" t="inlineStr">
        <is>
          <t>Prio Forte</t>
        </is>
      </c>
      <c r="D779" t="inlineStr">
        <is>
          <t>Wahoo</t>
        </is>
      </c>
      <c r="E779" t="inlineStr">
        <is>
          <t>Casco - Gênesis I</t>
        </is>
      </c>
      <c r="F779" t="inlineStr">
        <is>
          <t>Amostral</t>
        </is>
      </c>
      <c r="G779" s="8" t="n">
        <v>80594.03999999999</v>
      </c>
      <c r="H779" s="8" t="n">
        <v>80594.03999999999</v>
      </c>
      <c r="I779" s="8">
        <f>G779-H779</f>
        <v/>
      </c>
      <c r="J779" s="11">
        <f>IF(G779=0,0,MIN(1,I779/G779))</f>
        <v/>
      </c>
    </row>
    <row r="780">
      <c r="A780" t="inlineStr">
        <is>
          <t>IMB0085737</t>
        </is>
      </c>
      <c r="B780" t="inlineStr">
        <is>
          <t>Equipamentos de informática</t>
        </is>
      </c>
      <c r="C780" t="inlineStr">
        <is>
          <t>PrioOG</t>
        </is>
      </c>
      <c r="D780" t="inlineStr">
        <is>
          <t>Corporativo</t>
        </is>
      </c>
      <c r="E780" t="inlineStr">
        <is>
          <t>Monitor</t>
        </is>
      </c>
      <c r="F780" t="inlineStr">
        <is>
          <t>Amostral</t>
        </is>
      </c>
      <c r="G780" s="8" t="n">
        <v>18581.79</v>
      </c>
      <c r="H780" s="8" t="n">
        <v>18581.79</v>
      </c>
      <c r="I780" s="8">
        <f>G780-H780</f>
        <v/>
      </c>
      <c r="J780" s="11">
        <f>IF(G780=0,0,MIN(1,I780/G780))</f>
        <v/>
      </c>
    </row>
    <row r="781">
      <c r="A781" t="inlineStr">
        <is>
          <t>IMB0089284</t>
        </is>
      </c>
      <c r="B781" t="inlineStr">
        <is>
          <t>Benfeitorias em imóveis de terceiros</t>
        </is>
      </c>
      <c r="C781" t="inlineStr">
        <is>
          <t>PrioOG</t>
        </is>
      </c>
      <c r="D781" t="inlineStr">
        <is>
          <t>Corporativo</t>
        </is>
      </c>
      <c r="E781" t="inlineStr">
        <is>
          <t>Climatização</t>
        </is>
      </c>
      <c r="F781" t="inlineStr">
        <is>
          <t>Amostral</t>
        </is>
      </c>
      <c r="G781" s="8" t="n">
        <v>1342022.27</v>
      </c>
      <c r="H781" s="8" t="n">
        <v>1342022.27</v>
      </c>
      <c r="I781" s="8">
        <f>G781-H781</f>
        <v/>
      </c>
      <c r="J781" s="11">
        <f>IF(G781=0,0,MIN(1,I781/G781))</f>
        <v/>
      </c>
    </row>
    <row r="782">
      <c r="A782" t="inlineStr">
        <is>
          <t>IMB0089615</t>
        </is>
      </c>
      <c r="B782" t="inlineStr">
        <is>
          <t>Benfeitorias em imóveis de terceiros</t>
        </is>
      </c>
      <c r="C782" t="inlineStr">
        <is>
          <t>PrioOG</t>
        </is>
      </c>
      <c r="D782" t="inlineStr">
        <is>
          <t>Corporativo</t>
        </is>
      </c>
      <c r="E782" t="inlineStr">
        <is>
          <t>Instalações elétricas</t>
        </is>
      </c>
      <c r="F782" t="inlineStr">
        <is>
          <t>Amostral</t>
        </is>
      </c>
      <c r="G782" s="8" t="n">
        <v>192173.11</v>
      </c>
      <c r="H782" s="8" t="n">
        <v>192173.11</v>
      </c>
      <c r="I782" s="8">
        <f>G782-H782</f>
        <v/>
      </c>
      <c r="J782" s="11">
        <f>IF(G782=0,0,MIN(1,I782/G782))</f>
        <v/>
      </c>
    </row>
    <row r="783">
      <c r="A783" t="inlineStr">
        <is>
          <t>IMB0090133</t>
        </is>
      </c>
      <c r="B783" t="inlineStr">
        <is>
          <t>Imobilizado em andamento</t>
        </is>
      </c>
      <c r="C783" t="inlineStr">
        <is>
          <t>PrioOG</t>
        </is>
      </c>
      <c r="D783" t="inlineStr">
        <is>
          <t>Corporativo</t>
        </is>
      </c>
      <c r="E783" t="inlineStr">
        <is>
          <t>Implantação de sistemas</t>
        </is>
      </c>
      <c r="F783" t="inlineStr">
        <is>
          <t>Amostral</t>
        </is>
      </c>
      <c r="G783" s="8" t="n">
        <v>43595.74</v>
      </c>
      <c r="H783" s="8" t="n">
        <v>43595.74</v>
      </c>
      <c r="I783" s="8">
        <f>G783-H783</f>
        <v/>
      </c>
      <c r="J783" s="11">
        <f>IF(G783=0,0,MIN(1,I783/G783))</f>
        <v/>
      </c>
    </row>
    <row r="784">
      <c r="A784" t="inlineStr">
        <is>
          <t>IMB0090922</t>
        </is>
      </c>
      <c r="B784" t="inlineStr">
        <is>
          <t>Imobilizado em andamento</t>
        </is>
      </c>
      <c r="C784" t="inlineStr">
        <is>
          <t>PrioOG</t>
        </is>
      </c>
      <c r="D784" t="inlineStr">
        <is>
          <t>Corporativo</t>
        </is>
      </c>
      <c r="E784" t="inlineStr">
        <is>
          <t>Infraestrutura de TI - projeto</t>
        </is>
      </c>
      <c r="F784" t="inlineStr">
        <is>
          <t>Amostral</t>
        </is>
      </c>
      <c r="G784" s="8" t="n">
        <v>28701.43</v>
      </c>
      <c r="H784" s="8" t="n">
        <v>28701.43</v>
      </c>
      <c r="I784" s="8">
        <f>G784-H784</f>
        <v/>
      </c>
      <c r="J784" s="11">
        <f>IF(G784=0,0,MIN(1,I784/G784))</f>
        <v/>
      </c>
    </row>
    <row r="785">
      <c r="A785" t="inlineStr">
        <is>
          <t>IMB0091718</t>
        </is>
      </c>
      <c r="B785" t="inlineStr">
        <is>
          <t>Imobilizado em andamento</t>
        </is>
      </c>
      <c r="C785" t="inlineStr">
        <is>
          <t>PrioOG</t>
        </is>
      </c>
      <c r="D785" t="inlineStr">
        <is>
          <t>Corporativo</t>
        </is>
      </c>
      <c r="E785" t="inlineStr">
        <is>
          <t>Instalações administrativas - obra</t>
        </is>
      </c>
      <c r="F785" t="inlineStr">
        <is>
          <t>Amostral</t>
        </is>
      </c>
      <c r="G785" s="8" t="n">
        <v>25271.16</v>
      </c>
      <c r="H785" s="8" t="n">
        <v>25271.16</v>
      </c>
      <c r="I785" s="8">
        <f>G785-H785</f>
        <v/>
      </c>
      <c r="J785" s="11">
        <f>IF(G785=0,0,MIN(1,I785/G785))</f>
        <v/>
      </c>
    </row>
    <row r="786">
      <c r="A786" t="inlineStr">
        <is>
          <t>IMB0092537</t>
        </is>
      </c>
      <c r="B786" t="inlineStr">
        <is>
          <t>Imobilizado em andamento</t>
        </is>
      </c>
      <c r="C786" t="inlineStr">
        <is>
          <t>PrioOG</t>
        </is>
      </c>
      <c r="D786" t="inlineStr">
        <is>
          <t>Corporativo</t>
        </is>
      </c>
      <c r="E786" t="inlineStr">
        <is>
          <t>Implantação de sistemas</t>
        </is>
      </c>
      <c r="F786" t="inlineStr">
        <is>
          <t>Amostral</t>
        </is>
      </c>
      <c r="G786" s="8" t="n">
        <v>69166.50999999999</v>
      </c>
      <c r="H786" s="8" t="n">
        <v>69166.50999999999</v>
      </c>
      <c r="I786" s="8">
        <f>G786-H786</f>
        <v/>
      </c>
      <c r="J786" s="11">
        <f>IF(G786=0,0,MIN(1,I786/G786))</f>
        <v/>
      </c>
    </row>
    <row r="787">
      <c r="A787" t="inlineStr">
        <is>
          <t>IMB0093139</t>
        </is>
      </c>
      <c r="B787" t="inlineStr">
        <is>
          <t>Revitalização de Poços (workover) - andamento</t>
        </is>
      </c>
      <c r="C787" t="inlineStr">
        <is>
          <t>Prio Forte</t>
        </is>
      </c>
      <c r="D787" t="inlineStr">
        <is>
          <t>Albacora Leste</t>
        </is>
      </c>
      <c r="E787" t="inlineStr">
        <is>
          <t>Workover com sonda</t>
        </is>
      </c>
      <c r="F787" t="inlineStr">
        <is>
          <t>Amostral</t>
        </is>
      </c>
      <c r="G787" s="8" t="n">
        <v>66870.78</v>
      </c>
      <c r="H787" s="8" t="n">
        <v>66870.78</v>
      </c>
      <c r="I787" s="8">
        <f>G787-H787</f>
        <v/>
      </c>
      <c r="J787" s="11">
        <f>IF(G787=0,0,MIN(1,I787/G787))</f>
        <v/>
      </c>
    </row>
    <row r="788">
      <c r="A788" t="inlineStr">
        <is>
          <t>IMB0093725</t>
        </is>
      </c>
      <c r="B788" t="inlineStr">
        <is>
          <t>Revitalização de Poços (workover) - andamento</t>
        </is>
      </c>
      <c r="C788" t="inlineStr">
        <is>
          <t>Prio Bravo</t>
        </is>
      </c>
      <c r="D788" t="inlineStr">
        <is>
          <t>Polvo &amp; TBMT</t>
        </is>
      </c>
      <c r="E788" t="inlineStr">
        <is>
          <t>Estimulação ácida</t>
        </is>
      </c>
      <c r="F788" t="inlineStr">
        <is>
          <t>Amostral</t>
        </is>
      </c>
      <c r="G788" s="8" t="n">
        <v>20080.93</v>
      </c>
      <c r="H788" s="8" t="n">
        <v>20080.93</v>
      </c>
      <c r="I788" s="8">
        <f>G788-H788</f>
        <v/>
      </c>
      <c r="J788" s="11">
        <f>IF(G788=0,0,MIN(1,I788/G788))</f>
        <v/>
      </c>
    </row>
    <row r="789">
      <c r="A789" t="inlineStr">
        <is>
          <t>IMB0094362</t>
        </is>
      </c>
      <c r="B789" t="inlineStr">
        <is>
          <t>Revitalização de Poços (workover) - andamento</t>
        </is>
      </c>
      <c r="C789" t="inlineStr">
        <is>
          <t>Prio Forte</t>
        </is>
      </c>
      <c r="D789" t="inlineStr">
        <is>
          <t>Albacora Leste</t>
        </is>
      </c>
      <c r="E789" t="inlineStr">
        <is>
          <t>Estimulação ácida</t>
        </is>
      </c>
      <c r="F789" t="inlineStr">
        <is>
          <t>Amostral</t>
        </is>
      </c>
      <c r="G789" s="8" t="n">
        <v>67956.22</v>
      </c>
      <c r="H789" s="8" t="n">
        <v>67956.22</v>
      </c>
      <c r="I789" s="8">
        <f>G789-H789</f>
        <v/>
      </c>
      <c r="J789" s="11">
        <f>IF(G789=0,0,MIN(1,I789/G789))</f>
        <v/>
      </c>
    </row>
    <row r="790">
      <c r="A790" t="inlineStr">
        <is>
          <t>IMB0094927</t>
        </is>
      </c>
      <c r="B790" t="inlineStr">
        <is>
          <t>Revitalização de Poços (workover) - andamento</t>
        </is>
      </c>
      <c r="C790" t="inlineStr">
        <is>
          <t>Prio Bravo</t>
        </is>
      </c>
      <c r="D790" t="inlineStr">
        <is>
          <t>Polvo &amp; TBMT</t>
        </is>
      </c>
      <c r="E790" t="inlineStr">
        <is>
          <t>Intervenção em poço - troca de BCS</t>
        </is>
      </c>
      <c r="F790" t="inlineStr">
        <is>
          <t>Amostral</t>
        </is>
      </c>
      <c r="G790" s="8" t="n">
        <v>120193.02</v>
      </c>
      <c r="H790" s="8" t="n">
        <v>120193.02</v>
      </c>
      <c r="I790" s="8">
        <f>G790-H790</f>
        <v/>
      </c>
      <c r="J790" s="11">
        <f>IF(G790=0,0,MIN(1,I790/G790))</f>
        <v/>
      </c>
    </row>
    <row r="791">
      <c r="A791" t="inlineStr">
        <is>
          <t>IMB0095551</t>
        </is>
      </c>
      <c r="B791" t="inlineStr">
        <is>
          <t>Revitalização de Poços (workover) - andamento</t>
        </is>
      </c>
      <c r="C791" t="inlineStr">
        <is>
          <t>Prio Forte</t>
        </is>
      </c>
      <c r="D791" t="inlineStr">
        <is>
          <t>Albacora Leste</t>
        </is>
      </c>
      <c r="E791" t="inlineStr">
        <is>
          <t>Workover com sonda</t>
        </is>
      </c>
      <c r="F791" t="inlineStr">
        <is>
          <t>Amostral</t>
        </is>
      </c>
      <c r="G791" s="8" t="n">
        <v>227910.06</v>
      </c>
      <c r="H791" s="8" t="n">
        <v>227910.06</v>
      </c>
      <c r="I791" s="8">
        <f>G791-H791</f>
        <v/>
      </c>
      <c r="J791" s="11">
        <f>IF(G791=0,0,MIN(1,I791/G791))</f>
        <v/>
      </c>
    </row>
    <row r="792">
      <c r="A792" t="inlineStr">
        <is>
          <t>IMB0096169</t>
        </is>
      </c>
      <c r="B792" t="inlineStr">
        <is>
          <t>Revitalização de Poços (workover) - andamento</t>
        </is>
      </c>
      <c r="C792" t="inlineStr">
        <is>
          <t>Prio Forte</t>
        </is>
      </c>
      <c r="D792" t="inlineStr">
        <is>
          <t>Albacora Leste</t>
        </is>
      </c>
      <c r="E792" t="inlineStr">
        <is>
          <t>Intervenção em poço - troca de BCS</t>
        </is>
      </c>
      <c r="F792" t="inlineStr">
        <is>
          <t>Amostral</t>
        </is>
      </c>
      <c r="G792" s="8" t="n">
        <v>67356.83</v>
      </c>
      <c r="H792" s="8" t="n">
        <v>67356.83</v>
      </c>
      <c r="I792" s="8">
        <f>G792-H792</f>
        <v/>
      </c>
      <c r="J792" s="11">
        <f>IF(G792=0,0,MIN(1,I792/G792))</f>
        <v/>
      </c>
    </row>
    <row r="793">
      <c r="A793" t="inlineStr">
        <is>
          <t>IMB0096649</t>
        </is>
      </c>
      <c r="B793" t="inlineStr">
        <is>
          <t>Revitalização de Poços (workover) - andamento</t>
        </is>
      </c>
      <c r="C793" t="inlineStr">
        <is>
          <t>Prio Forte</t>
        </is>
      </c>
      <c r="D793" t="inlineStr">
        <is>
          <t>Albacora Leste</t>
        </is>
      </c>
      <c r="E793" t="inlineStr">
        <is>
          <t>Intervenção em poço - troca de BCS</t>
        </is>
      </c>
      <c r="F793" t="inlineStr">
        <is>
          <t>Amostral</t>
        </is>
      </c>
      <c r="G793" s="8" t="n">
        <v>424675.78</v>
      </c>
      <c r="H793" s="8" t="n">
        <v>424675.78</v>
      </c>
      <c r="I793" s="8">
        <f>G793-H793</f>
        <v/>
      </c>
      <c r="J793" s="11">
        <f>IF(G793=0,0,MIN(1,I793/G793))</f>
        <v/>
      </c>
    </row>
    <row r="794">
      <c r="A794" t="inlineStr">
        <is>
          <t>IMB0097211</t>
        </is>
      </c>
      <c r="B794" t="inlineStr">
        <is>
          <t>Revitalização de Poços (workover) - andamento</t>
        </is>
      </c>
      <c r="C794" t="inlineStr">
        <is>
          <t>Prio Forte</t>
        </is>
      </c>
      <c r="D794" t="inlineStr">
        <is>
          <t>Albacora Leste</t>
        </is>
      </c>
      <c r="E794" t="inlineStr">
        <is>
          <t>Substituição de coluna de produção</t>
        </is>
      </c>
      <c r="F794" t="inlineStr">
        <is>
          <t>Amostral</t>
        </is>
      </c>
      <c r="G794" s="8" t="n">
        <v>32609.73</v>
      </c>
      <c r="H794" s="8" t="n">
        <v>32609.73</v>
      </c>
      <c r="I794" s="8">
        <f>G794-H794</f>
        <v/>
      </c>
      <c r="J794" s="11">
        <f>IF(G794=0,0,MIN(1,I794/G794))</f>
        <v/>
      </c>
    </row>
    <row r="795">
      <c r="A795" t="inlineStr">
        <is>
          <t>IMB0097818</t>
        </is>
      </c>
      <c r="B795" t="inlineStr">
        <is>
          <t>Revitalização de Poços (workover) - andamento</t>
        </is>
      </c>
      <c r="C795" t="inlineStr">
        <is>
          <t>Prio Bravo</t>
        </is>
      </c>
      <c r="D795" t="inlineStr">
        <is>
          <t>Polvo &amp; TBMT</t>
        </is>
      </c>
      <c r="E795" t="inlineStr">
        <is>
          <t>Estimulação ácida</t>
        </is>
      </c>
      <c r="F795" t="inlineStr">
        <is>
          <t>Amostral</t>
        </is>
      </c>
      <c r="G795" s="8" t="n">
        <v>270396.77</v>
      </c>
      <c r="H795" s="8" t="n">
        <v>270396.77</v>
      </c>
      <c r="I795" s="8">
        <f>G795-H795</f>
        <v/>
      </c>
      <c r="J795" s="11">
        <f>IF(G795=0,0,MIN(1,I795/G795))</f>
        <v/>
      </c>
    </row>
    <row r="796">
      <c r="A796" t="inlineStr">
        <is>
          <t>IMB0098416</t>
        </is>
      </c>
      <c r="B796" t="inlineStr">
        <is>
          <t>Revitalização de Poços (workover) - andamento</t>
        </is>
      </c>
      <c r="C796" t="inlineStr">
        <is>
          <t>Prio Forte</t>
        </is>
      </c>
      <c r="D796" t="inlineStr">
        <is>
          <t>Albacora Leste</t>
        </is>
      </c>
      <c r="E796" t="inlineStr">
        <is>
          <t>Workover com sonda</t>
        </is>
      </c>
      <c r="F796" t="inlineStr">
        <is>
          <t>Amostral</t>
        </is>
      </c>
      <c r="G796" s="8" t="n">
        <v>320452.59</v>
      </c>
      <c r="H796" s="8" t="n">
        <v>320452.59</v>
      </c>
      <c r="I796" s="8">
        <f>G796-H796</f>
        <v/>
      </c>
      <c r="J796" s="11">
        <f>IF(G796=0,0,MIN(1,I796/G796))</f>
        <v/>
      </c>
    </row>
    <row r="797">
      <c r="A797" t="inlineStr">
        <is>
          <t>IMB0099022</t>
        </is>
      </c>
      <c r="B797" t="inlineStr">
        <is>
          <t>Revitalização de Poços (workover) - andamento</t>
        </is>
      </c>
      <c r="C797" t="inlineStr">
        <is>
          <t>Prio Forte</t>
        </is>
      </c>
      <c r="D797" t="inlineStr">
        <is>
          <t>Albacora Leste</t>
        </is>
      </c>
      <c r="E797" t="inlineStr">
        <is>
          <t>Estimulação ácida</t>
        </is>
      </c>
      <c r="F797" t="inlineStr">
        <is>
          <t>Amostral</t>
        </is>
      </c>
      <c r="G797" s="8" t="n">
        <v>26888.94</v>
      </c>
      <c r="H797" s="8" t="n">
        <v>26888.94</v>
      </c>
      <c r="I797" s="8">
        <f>G797-H797</f>
        <v/>
      </c>
      <c r="J797" s="11">
        <f>IF(G797=0,0,MIN(1,I797/G797))</f>
        <v/>
      </c>
    </row>
    <row r="798">
      <c r="A798" t="inlineStr">
        <is>
          <t>IMB0099638</t>
        </is>
      </c>
      <c r="B798" t="inlineStr">
        <is>
          <t>Revitalização de Poços (workover) - andamento</t>
        </is>
      </c>
      <c r="C798" t="inlineStr">
        <is>
          <t>Prio Forte</t>
        </is>
      </c>
      <c r="D798" t="inlineStr">
        <is>
          <t>Albacora Leste</t>
        </is>
      </c>
      <c r="E798" t="inlineStr">
        <is>
          <t>Reabertura de poço hidratado</t>
        </is>
      </c>
      <c r="F798" t="inlineStr">
        <is>
          <t>Amostral</t>
        </is>
      </c>
      <c r="G798" s="8" t="n">
        <v>29802.03</v>
      </c>
      <c r="H798" s="8" t="n">
        <v>29802.03</v>
      </c>
      <c r="I798" s="8">
        <f>G798-H798</f>
        <v/>
      </c>
      <c r="J798" s="11">
        <f>IF(G798=0,0,MIN(1,I798/G798))</f>
        <v/>
      </c>
    </row>
    <row r="799">
      <c r="A799" t="inlineStr">
        <is>
          <t>IMB0100209</t>
        </is>
      </c>
      <c r="B799" t="inlineStr">
        <is>
          <t>Revitalização de Poços (workover) - andamento</t>
        </is>
      </c>
      <c r="C799" t="inlineStr">
        <is>
          <t>Prio Forte</t>
        </is>
      </c>
      <c r="D799" t="inlineStr">
        <is>
          <t>Albacora Leste</t>
        </is>
      </c>
      <c r="E799" t="inlineStr">
        <is>
          <t>Substituição de coluna de produção</t>
        </is>
      </c>
      <c r="F799" t="inlineStr">
        <is>
          <t>Amostral</t>
        </is>
      </c>
      <c r="G799" s="8" t="n">
        <v>99802.98</v>
      </c>
      <c r="H799" s="8" t="n">
        <v>99802.98</v>
      </c>
      <c r="I799" s="8">
        <f>G799-H799</f>
        <v/>
      </c>
      <c r="J799" s="11">
        <f>IF(G799=0,0,MIN(1,I799/G799))</f>
        <v/>
      </c>
    </row>
    <row r="800">
      <c r="A800" t="inlineStr">
        <is>
          <t>IMB0100767</t>
        </is>
      </c>
      <c r="B800" t="inlineStr">
        <is>
          <t>Revitalização de Poços (workover) - andamento</t>
        </is>
      </c>
      <c r="C800" t="inlineStr">
        <is>
          <t>Prio Forte</t>
        </is>
      </c>
      <c r="D800" t="inlineStr">
        <is>
          <t>Albacora Leste</t>
        </is>
      </c>
      <c r="E800" t="inlineStr">
        <is>
          <t>Substituição de coluna de produção</t>
        </is>
      </c>
      <c r="F800" t="inlineStr">
        <is>
          <t>Amostral</t>
        </is>
      </c>
      <c r="G800" s="8" t="n">
        <v>12806.28</v>
      </c>
      <c r="H800" s="8" t="n">
        <v>12806.28</v>
      </c>
      <c r="I800" s="8">
        <f>G800-H800</f>
        <v/>
      </c>
      <c r="J800" s="11">
        <f>IF(G800=0,0,MIN(1,I800/G800))</f>
        <v/>
      </c>
    </row>
    <row r="801">
      <c r="A801" t="inlineStr">
        <is>
          <t>IMB0101520</t>
        </is>
      </c>
      <c r="B801" t="inlineStr">
        <is>
          <t>Revitalização da Plataforma - Polvo A</t>
        </is>
      </c>
      <c r="C801" t="inlineStr">
        <is>
          <t>Lux Holding</t>
        </is>
      </c>
      <c r="D801" t="inlineStr">
        <is>
          <t>Polvo &amp; TBMT</t>
        </is>
      </c>
      <c r="E801" t="inlineStr">
        <is>
          <t>Recuperação de conveses</t>
        </is>
      </c>
      <c r="F801" t="inlineStr">
        <is>
          <t>Amostral</t>
        </is>
      </c>
      <c r="G801" s="8" t="n">
        <v>66462.05</v>
      </c>
      <c r="H801" s="8" t="n">
        <v>66462.05</v>
      </c>
      <c r="I801" s="8">
        <f>G801-H801</f>
        <v/>
      </c>
      <c r="J801" s="11">
        <f>IF(G801=0,0,MIN(1,I801/G801))</f>
        <v/>
      </c>
    </row>
    <row r="802">
      <c r="A802" t="inlineStr">
        <is>
          <t>IMB0102170</t>
        </is>
      </c>
      <c r="B802" t="inlineStr">
        <is>
          <t>Revitalização da Plataforma - Polvo A</t>
        </is>
      </c>
      <c r="C802" t="inlineStr">
        <is>
          <t>Lux Holding</t>
        </is>
      </c>
      <c r="D802" t="inlineStr">
        <is>
          <t>Polvo &amp; TBMT</t>
        </is>
      </c>
      <c r="E802" t="inlineStr">
        <is>
          <t>Revitalização estrutural da jaqueta</t>
        </is>
      </c>
      <c r="F802" t="inlineStr">
        <is>
          <t>Amostral</t>
        </is>
      </c>
      <c r="G802" s="8" t="n">
        <v>5989.85</v>
      </c>
      <c r="H802" s="8" t="n">
        <v>5989.85</v>
      </c>
      <c r="I802" s="8">
        <f>G802-H802</f>
        <v/>
      </c>
      <c r="J802" s="11">
        <f>IF(G802=0,0,MIN(1,I802/G802))</f>
        <v/>
      </c>
    </row>
    <row r="803">
      <c r="A803" t="inlineStr">
        <is>
          <t>IMB0102878</t>
        </is>
      </c>
      <c r="B803" t="inlineStr">
        <is>
          <t>Gastos com Desenvolvimento</t>
        </is>
      </c>
      <c r="C803" t="inlineStr">
        <is>
          <t>Prio Forte</t>
        </is>
      </c>
      <c r="D803" t="inlineStr">
        <is>
          <t>Frade</t>
        </is>
      </c>
      <c r="E803" t="inlineStr">
        <is>
          <t>Instalação de linhas (PLSV)</t>
        </is>
      </c>
      <c r="F803" t="inlineStr">
        <is>
          <t>Amostral</t>
        </is>
      </c>
      <c r="G803" s="8" t="n">
        <v>174071.35</v>
      </c>
      <c r="H803" s="8" t="n">
        <v>174071.35</v>
      </c>
      <c r="I803" s="8">
        <f>G803-H803</f>
        <v/>
      </c>
      <c r="J803" s="11">
        <f>IF(G803=0,0,MIN(1,I803/G803))</f>
        <v/>
      </c>
    </row>
    <row r="804">
      <c r="A804" t="inlineStr">
        <is>
          <t>IMB0103602</t>
        </is>
      </c>
      <c r="B804" t="inlineStr">
        <is>
          <t>Gastos com Desenvolvimento</t>
        </is>
      </c>
      <c r="C804" t="inlineStr">
        <is>
          <t>Prio Forte</t>
        </is>
      </c>
      <c r="D804" t="inlineStr">
        <is>
          <t>Wahoo</t>
        </is>
      </c>
      <c r="E804" t="inlineStr">
        <is>
          <t>Instalação de linhas (PLSV)</t>
        </is>
      </c>
      <c r="F804" t="inlineStr">
        <is>
          <t>Amostral</t>
        </is>
      </c>
      <c r="G804" s="8" t="n">
        <v>199339.04</v>
      </c>
      <c r="H804" s="8" t="n">
        <v>199339.04</v>
      </c>
      <c r="I804" s="8">
        <f>G804-H804</f>
        <v/>
      </c>
      <c r="J804" s="11">
        <f>IF(G804=0,0,MIN(1,I804/G804))</f>
        <v/>
      </c>
    </row>
    <row r="805">
      <c r="A805" t="inlineStr">
        <is>
          <t>IMB0104348</t>
        </is>
      </c>
      <c r="B805" t="inlineStr">
        <is>
          <t>Gastos com Desenvolvimento</t>
        </is>
      </c>
      <c r="C805" t="inlineStr">
        <is>
          <t>Prio Forte</t>
        </is>
      </c>
      <c r="D805" t="inlineStr">
        <is>
          <t>Frade</t>
        </is>
      </c>
      <c r="E805" t="inlineStr">
        <is>
          <t>Interligação submarina (tieback)</t>
        </is>
      </c>
      <c r="F805" t="inlineStr">
        <is>
          <t>Amostral</t>
        </is>
      </c>
      <c r="G805" s="8" t="n">
        <v>62769.66</v>
      </c>
      <c r="H805" s="8" t="n">
        <v>62769.66</v>
      </c>
      <c r="I805" s="8">
        <f>G805-H805</f>
        <v/>
      </c>
      <c r="J805" s="11">
        <f>IF(G805=0,0,MIN(1,I805/G805))</f>
        <v/>
      </c>
    </row>
    <row r="806">
      <c r="A806" t="inlineStr">
        <is>
          <t>IMB0105143</t>
        </is>
      </c>
      <c r="B806" t="inlineStr">
        <is>
          <t>Gastos com Desenvolvimento</t>
        </is>
      </c>
      <c r="C806" t="inlineStr">
        <is>
          <t>Prio Tigris</t>
        </is>
      </c>
      <c r="D806" t="inlineStr">
        <is>
          <t>Peregrino</t>
        </is>
      </c>
      <c r="E806" t="inlineStr">
        <is>
          <t>Interligação submarina (tieback)</t>
        </is>
      </c>
      <c r="F806" t="inlineStr">
        <is>
          <t>Amostral</t>
        </is>
      </c>
      <c r="G806" s="8" t="n">
        <v>50989.62</v>
      </c>
      <c r="H806" s="8" t="n">
        <v>50989.62</v>
      </c>
      <c r="I806" s="8">
        <f>G806-H806</f>
        <v/>
      </c>
      <c r="J806" s="11">
        <f>IF(G806=0,0,MIN(1,I806/G806))</f>
        <v/>
      </c>
    </row>
    <row r="807">
      <c r="A807" t="inlineStr">
        <is>
          <t>IMB0105782</t>
        </is>
      </c>
      <c r="B807" t="inlineStr">
        <is>
          <t>Gastos com Desenvolvimento</t>
        </is>
      </c>
      <c r="C807" t="inlineStr">
        <is>
          <t>Prio Forte</t>
        </is>
      </c>
      <c r="D807" t="inlineStr">
        <is>
          <t>Wahoo</t>
        </is>
      </c>
      <c r="E807" t="inlineStr">
        <is>
          <t>Serviço de completação</t>
        </is>
      </c>
      <c r="F807" t="inlineStr">
        <is>
          <t>Amostral</t>
        </is>
      </c>
      <c r="G807" s="8" t="n">
        <v>164977.67</v>
      </c>
      <c r="H807" s="8" t="n">
        <v>164977.67</v>
      </c>
      <c r="I807" s="8">
        <f>G807-H807</f>
        <v/>
      </c>
      <c r="J807" s="11">
        <f>IF(G807=0,0,MIN(1,I807/G807))</f>
        <v/>
      </c>
    </row>
    <row r="808">
      <c r="A808" t="inlineStr">
        <is>
          <t>IMB0106469</t>
        </is>
      </c>
      <c r="B808" t="inlineStr">
        <is>
          <t>Gastos com Desenvolvimento</t>
        </is>
      </c>
      <c r="C808" t="inlineStr">
        <is>
          <t>Prio Forte</t>
        </is>
      </c>
      <c r="D808" t="inlineStr">
        <is>
          <t>Albacora Leste</t>
        </is>
      </c>
      <c r="E808" t="inlineStr">
        <is>
          <t>Serviço de perfuração - diária de sonda</t>
        </is>
      </c>
      <c r="F808" t="inlineStr">
        <is>
          <t>Amostral</t>
        </is>
      </c>
      <c r="G808" s="8" t="n">
        <v>82996.95</v>
      </c>
      <c r="H808" s="8" t="n">
        <v>82996.95</v>
      </c>
      <c r="I808" s="8">
        <f>G808-H808</f>
        <v/>
      </c>
      <c r="J808" s="11">
        <f>IF(G808=0,0,MIN(1,I808/G808))</f>
        <v/>
      </c>
    </row>
    <row r="809">
      <c r="A809" t="inlineStr">
        <is>
          <t>IMB0107313</t>
        </is>
      </c>
      <c r="B809" t="inlineStr">
        <is>
          <t>Gastos com Desenvolvimento</t>
        </is>
      </c>
      <c r="C809" t="inlineStr">
        <is>
          <t>Prio Forte</t>
        </is>
      </c>
      <c r="D809" t="inlineStr">
        <is>
          <t>Albacora Leste</t>
        </is>
      </c>
      <c r="E809" t="inlineStr">
        <is>
          <t>Embarcação de apoio - logística offshore</t>
        </is>
      </c>
      <c r="F809" t="inlineStr">
        <is>
          <t>Amostral</t>
        </is>
      </c>
      <c r="G809" s="8" t="n">
        <v>148388.45</v>
      </c>
      <c r="H809" s="8" t="n">
        <v>148388.45</v>
      </c>
      <c r="I809" s="8">
        <f>G809-H809</f>
        <v/>
      </c>
      <c r="J809" s="11">
        <f>IF(G809=0,0,MIN(1,I809/G809))</f>
        <v/>
      </c>
    </row>
    <row r="810">
      <c r="A810" t="inlineStr">
        <is>
          <t>IMB0108005</t>
        </is>
      </c>
      <c r="B810" t="inlineStr">
        <is>
          <t>Gastos com Desenvolvimento</t>
        </is>
      </c>
      <c r="C810" t="inlineStr">
        <is>
          <t>Prio Forte</t>
        </is>
      </c>
      <c r="D810" t="inlineStr">
        <is>
          <t>Albacora Leste</t>
        </is>
      </c>
      <c r="E810" t="inlineStr">
        <is>
          <t>Fornecimento de ANM</t>
        </is>
      </c>
      <c r="F810" t="inlineStr">
        <is>
          <t>Amostral</t>
        </is>
      </c>
      <c r="G810" s="8" t="n">
        <v>1426535.01</v>
      </c>
      <c r="H810" s="8" t="n">
        <v>1426535.01</v>
      </c>
      <c r="I810" s="8">
        <f>G810-H810</f>
        <v/>
      </c>
      <c r="J810" s="11">
        <f>IF(G810=0,0,MIN(1,I810/G810))</f>
        <v/>
      </c>
    </row>
    <row r="811">
      <c r="A811" t="inlineStr">
        <is>
          <t>IMB0108704</t>
        </is>
      </c>
      <c r="B811" t="inlineStr">
        <is>
          <t>Gastos com Desenvolvimento</t>
        </is>
      </c>
      <c r="C811" t="inlineStr">
        <is>
          <t>Prio Bravo</t>
        </is>
      </c>
      <c r="D811" t="inlineStr">
        <is>
          <t>Polvo &amp; TBMT</t>
        </is>
      </c>
      <c r="E811" t="inlineStr">
        <is>
          <t>Embarcação de apoio - logística offshore</t>
        </is>
      </c>
      <c r="F811" t="inlineStr">
        <is>
          <t>Amostral</t>
        </is>
      </c>
      <c r="G811" s="8" t="n">
        <v>195991.74</v>
      </c>
      <c r="H811" s="8" t="n">
        <v>195991.74</v>
      </c>
      <c r="I811" s="8">
        <f>G811-H811</f>
        <v/>
      </c>
      <c r="J811" s="11">
        <f>IF(G811=0,0,MIN(1,I811/G811))</f>
        <v/>
      </c>
    </row>
    <row r="812">
      <c r="A812" t="inlineStr">
        <is>
          <t>IMB0109468</t>
        </is>
      </c>
      <c r="B812" t="inlineStr">
        <is>
          <t>Gastos com Desenvolvimento</t>
        </is>
      </c>
      <c r="C812" t="inlineStr">
        <is>
          <t>Prio Forte</t>
        </is>
      </c>
      <c r="D812" t="inlineStr">
        <is>
          <t>Frade</t>
        </is>
      </c>
      <c r="E812" t="inlineStr">
        <is>
          <t>Juros capitalizados (CPC 20)</t>
        </is>
      </c>
      <c r="F812" t="inlineStr">
        <is>
          <t>Amostral</t>
        </is>
      </c>
      <c r="G812" s="8" t="n">
        <v>244246.98</v>
      </c>
      <c r="H812" s="8" t="n">
        <v>244246.98</v>
      </c>
      <c r="I812" s="8">
        <f>G812-H812</f>
        <v/>
      </c>
      <c r="J812" s="11">
        <f>IF(G812=0,0,MIN(1,I812/G812))</f>
        <v/>
      </c>
    </row>
    <row r="813">
      <c r="A813" t="inlineStr">
        <is>
          <t>IMB0110176</t>
        </is>
      </c>
      <c r="B813" t="inlineStr">
        <is>
          <t>Gastos com Desenvolvimento</t>
        </is>
      </c>
      <c r="C813" t="inlineStr">
        <is>
          <t>Prio Forte</t>
        </is>
      </c>
      <c r="D813" t="inlineStr">
        <is>
          <t>Frade</t>
        </is>
      </c>
      <c r="E813" t="inlineStr">
        <is>
          <t>Materiais aplicados em poço</t>
        </is>
      </c>
      <c r="F813" t="inlineStr">
        <is>
          <t>Amostral</t>
        </is>
      </c>
      <c r="G813" s="8" t="n">
        <v>166234.55</v>
      </c>
      <c r="H813" s="8" t="n">
        <v>166234.55</v>
      </c>
      <c r="I813" s="8">
        <f>G813-H813</f>
        <v/>
      </c>
      <c r="J813" s="11">
        <f>IF(G813=0,0,MIN(1,I813/G813))</f>
        <v/>
      </c>
    </row>
    <row r="814">
      <c r="A814" t="inlineStr">
        <is>
          <t>IMB0110957</t>
        </is>
      </c>
      <c r="B814" t="inlineStr">
        <is>
          <t>Gastos com Desenvolvimento</t>
        </is>
      </c>
      <c r="C814" t="inlineStr">
        <is>
          <t>Prio Forte</t>
        </is>
      </c>
      <c r="D814" t="inlineStr">
        <is>
          <t>Wahoo</t>
        </is>
      </c>
      <c r="E814" t="inlineStr">
        <is>
          <t>Engenharia de projeto (FEED/detalhamento)</t>
        </is>
      </c>
      <c r="F814" t="inlineStr">
        <is>
          <t>Amostral</t>
        </is>
      </c>
      <c r="G814" s="8" t="n">
        <v>36054.65</v>
      </c>
      <c r="H814" s="8" t="n">
        <v>36054.65</v>
      </c>
      <c r="I814" s="8">
        <f>G814-H814</f>
        <v/>
      </c>
      <c r="J814" s="11">
        <f>IF(G814=0,0,MIN(1,I814/G814))</f>
        <v/>
      </c>
    </row>
    <row r="815">
      <c r="A815" t="inlineStr">
        <is>
          <t>IMB0111717</t>
        </is>
      </c>
      <c r="B815" t="inlineStr">
        <is>
          <t>Gastos com Desenvolvimento</t>
        </is>
      </c>
      <c r="C815" t="inlineStr">
        <is>
          <t>Prio Forte</t>
        </is>
      </c>
      <c r="D815" t="inlineStr">
        <is>
          <t>Albacora Leste</t>
        </is>
      </c>
      <c r="E815" t="inlineStr">
        <is>
          <t>Fluidos e cimentação</t>
        </is>
      </c>
      <c r="F815" t="inlineStr">
        <is>
          <t>Amostral</t>
        </is>
      </c>
      <c r="G815" s="8" t="n">
        <v>22007.14</v>
      </c>
      <c r="H815" s="8" t="n">
        <v>22007.14</v>
      </c>
      <c r="I815" s="8">
        <f>G815-H815</f>
        <v/>
      </c>
      <c r="J815" s="11">
        <f>IF(G815=0,0,MIN(1,I815/G815))</f>
        <v/>
      </c>
    </row>
    <row r="816">
      <c r="A816" t="inlineStr">
        <is>
          <t>IMB0112435</t>
        </is>
      </c>
      <c r="B816" t="inlineStr">
        <is>
          <t>Gastos com Desenvolvimento</t>
        </is>
      </c>
      <c r="C816" t="inlineStr">
        <is>
          <t>Prio Forte</t>
        </is>
      </c>
      <c r="D816" t="inlineStr">
        <is>
          <t>Frade</t>
        </is>
      </c>
      <c r="E816" t="inlineStr">
        <is>
          <t>Instalação de linhas (PLSV)</t>
        </is>
      </c>
      <c r="F816" t="inlineStr">
        <is>
          <t>Amostral</t>
        </is>
      </c>
      <c r="G816" s="8" t="n">
        <v>41260.91</v>
      </c>
      <c r="H816" s="8" t="n">
        <v>41260.91</v>
      </c>
      <c r="I816" s="8">
        <f>G816-H816</f>
        <v/>
      </c>
      <c r="J816" s="11">
        <f>IF(G816=0,0,MIN(1,I816/G816))</f>
        <v/>
      </c>
    </row>
    <row r="817">
      <c r="A817" t="inlineStr">
        <is>
          <t>IMB0113185</t>
        </is>
      </c>
      <c r="B817" t="inlineStr">
        <is>
          <t>Gastos com Desenvolvimento</t>
        </is>
      </c>
      <c r="C817" t="inlineStr">
        <is>
          <t>Prio Forte</t>
        </is>
      </c>
      <c r="D817" t="inlineStr">
        <is>
          <t>Wahoo</t>
        </is>
      </c>
      <c r="E817" t="inlineStr">
        <is>
          <t>Embarcação de apoio - logística offshore</t>
        </is>
      </c>
      <c r="F817" t="inlineStr">
        <is>
          <t>Amostral</t>
        </is>
      </c>
      <c r="G817" s="8" t="n">
        <v>258803.23</v>
      </c>
      <c r="H817" s="8" t="n">
        <v>258803.23</v>
      </c>
      <c r="I817" s="8">
        <f>G817-H817</f>
        <v/>
      </c>
      <c r="J817" s="11">
        <f>IF(G817=0,0,MIN(1,I817/G817))</f>
        <v/>
      </c>
    </row>
    <row r="818">
      <c r="A818" t="inlineStr">
        <is>
          <t>IMB0113918</t>
        </is>
      </c>
      <c r="B818" t="inlineStr">
        <is>
          <t>Gastos com Desenvolvimento</t>
        </is>
      </c>
      <c r="C818" t="inlineStr">
        <is>
          <t>Prio Forte</t>
        </is>
      </c>
      <c r="D818" t="inlineStr">
        <is>
          <t>Wahoo</t>
        </is>
      </c>
      <c r="E818" t="inlineStr">
        <is>
          <t>Serviço de completação</t>
        </is>
      </c>
      <c r="F818" t="inlineStr">
        <is>
          <t>Amostral</t>
        </is>
      </c>
      <c r="G818" s="8" t="n">
        <v>9695.379999999999</v>
      </c>
      <c r="H818" s="8" t="n">
        <v>9695.379999999999</v>
      </c>
      <c r="I818" s="8">
        <f>G818-H818</f>
        <v/>
      </c>
      <c r="J818" s="11">
        <f>IF(G818=0,0,MIN(1,I818/G818))</f>
        <v/>
      </c>
    </row>
    <row r="819">
      <c r="A819" t="inlineStr">
        <is>
          <t>IMB0114584</t>
        </is>
      </c>
      <c r="B819" t="inlineStr">
        <is>
          <t>Gastos com Desenvolvimento</t>
        </is>
      </c>
      <c r="C819" t="inlineStr">
        <is>
          <t>Prio Forte</t>
        </is>
      </c>
      <c r="D819" t="inlineStr">
        <is>
          <t>Frade</t>
        </is>
      </c>
      <c r="E819" t="inlineStr">
        <is>
          <t>Serviço de completação</t>
        </is>
      </c>
      <c r="F819" t="inlineStr">
        <is>
          <t>Amostral</t>
        </is>
      </c>
      <c r="G819" s="8" t="n">
        <v>117849.53</v>
      </c>
      <c r="H819" s="8" t="n">
        <v>117849.53</v>
      </c>
      <c r="I819" s="8">
        <f>G819-H819</f>
        <v/>
      </c>
      <c r="J819" s="11">
        <f>IF(G819=0,0,MIN(1,I819/G819))</f>
        <v/>
      </c>
    </row>
    <row r="820">
      <c r="A820" t="inlineStr">
        <is>
          <t>IMB0115397</t>
        </is>
      </c>
      <c r="B820" t="inlineStr">
        <is>
          <t>Gastos com Desenvolvimento</t>
        </is>
      </c>
      <c r="C820" t="inlineStr">
        <is>
          <t>Prio Forte</t>
        </is>
      </c>
      <c r="D820" t="inlineStr">
        <is>
          <t>Wahoo</t>
        </is>
      </c>
      <c r="E820" t="inlineStr">
        <is>
          <t>Embarcação de apoio - logística offshore</t>
        </is>
      </c>
      <c r="F820" t="inlineStr">
        <is>
          <t>Amostral</t>
        </is>
      </c>
      <c r="G820" s="8" t="n">
        <v>40357.22</v>
      </c>
      <c r="H820" s="8" t="n">
        <v>40357.22</v>
      </c>
      <c r="I820" s="8">
        <f>G820-H820</f>
        <v/>
      </c>
      <c r="J820" s="11">
        <f>IF(G820=0,0,MIN(1,I820/G820))</f>
        <v/>
      </c>
    </row>
    <row r="821">
      <c r="A821" t="inlineStr">
        <is>
          <t>IMB0116218</t>
        </is>
      </c>
      <c r="B821" t="inlineStr">
        <is>
          <t>Gastos com Desenvolvimento</t>
        </is>
      </c>
      <c r="C821" t="inlineStr">
        <is>
          <t>Prio Forte</t>
        </is>
      </c>
      <c r="D821" t="inlineStr">
        <is>
          <t>Frade</t>
        </is>
      </c>
      <c r="E821" t="inlineStr">
        <is>
          <t>Interligação submarina (tieback)</t>
        </is>
      </c>
      <c r="F821" t="inlineStr">
        <is>
          <t>Amostral</t>
        </is>
      </c>
      <c r="G821" s="8" t="n">
        <v>99906.46000000001</v>
      </c>
      <c r="H821" s="8" t="n">
        <v>99906.46000000001</v>
      </c>
      <c r="I821" s="8">
        <f>G821-H821</f>
        <v/>
      </c>
      <c r="J821" s="11">
        <f>IF(G821=0,0,MIN(1,I821/G821))</f>
        <v/>
      </c>
    </row>
    <row r="822">
      <c r="A822" t="inlineStr">
        <is>
          <t>IMB0116872</t>
        </is>
      </c>
      <c r="B822" t="inlineStr">
        <is>
          <t>Gastos com Desenvolvimento</t>
        </is>
      </c>
      <c r="C822" t="inlineStr">
        <is>
          <t>Prio Bravo</t>
        </is>
      </c>
      <c r="D822" t="inlineStr">
        <is>
          <t>Polvo &amp; TBMT</t>
        </is>
      </c>
      <c r="E822" t="inlineStr">
        <is>
          <t>Interligação submarina (tieback)</t>
        </is>
      </c>
      <c r="F822" t="inlineStr">
        <is>
          <t>Amostral</t>
        </is>
      </c>
      <c r="G822" s="8" t="n">
        <v>195054.79</v>
      </c>
      <c r="H822" s="8" t="n">
        <v>195054.79</v>
      </c>
      <c r="I822" s="8">
        <f>G822-H822</f>
        <v/>
      </c>
      <c r="J822" s="11">
        <f>IF(G822=0,0,MIN(1,I822/G822))</f>
        <v/>
      </c>
    </row>
    <row r="823">
      <c r="A823" t="inlineStr">
        <is>
          <t>IMB0117819</t>
        </is>
      </c>
      <c r="B823" t="inlineStr">
        <is>
          <t>Gastos com Desenvolvimento</t>
        </is>
      </c>
      <c r="C823" t="inlineStr">
        <is>
          <t>Prio Tigris</t>
        </is>
      </c>
      <c r="D823" t="inlineStr">
        <is>
          <t>Peregrino</t>
        </is>
      </c>
      <c r="E823" t="inlineStr">
        <is>
          <t>Serviço de completação</t>
        </is>
      </c>
      <c r="F823" t="inlineStr">
        <is>
          <t>Amostral</t>
        </is>
      </c>
      <c r="G823" s="8" t="n">
        <v>155675.21</v>
      </c>
      <c r="H823" s="8" t="n">
        <v>155675.21</v>
      </c>
      <c r="I823" s="8">
        <f>G823-H823</f>
        <v/>
      </c>
      <c r="J823" s="11">
        <f>IF(G823=0,0,MIN(1,I823/G823))</f>
        <v/>
      </c>
    </row>
    <row r="824">
      <c r="A824" t="inlineStr">
        <is>
          <t>IMB0118625</t>
        </is>
      </c>
      <c r="B824" t="inlineStr">
        <is>
          <t>Gastos com Desenvolvimento</t>
        </is>
      </c>
      <c r="C824" t="inlineStr">
        <is>
          <t>Prio Forte</t>
        </is>
      </c>
      <c r="D824" t="inlineStr">
        <is>
          <t>Albacora Leste</t>
        </is>
      </c>
      <c r="E824" t="inlineStr">
        <is>
          <t>Fluidos e cimentação</t>
        </is>
      </c>
      <c r="F824" t="inlineStr">
        <is>
          <t>Amostral</t>
        </is>
      </c>
      <c r="G824" s="8" t="n">
        <v>372298.25</v>
      </c>
      <c r="H824" s="8" t="n">
        <v>372298.25</v>
      </c>
      <c r="I824" s="8">
        <f>G824-H824</f>
        <v/>
      </c>
      <c r="J824" s="11">
        <f>IF(G824=0,0,MIN(1,I824/G824))</f>
        <v/>
      </c>
    </row>
    <row r="825">
      <c r="A825" t="inlineStr">
        <is>
          <t>IMB0119447</t>
        </is>
      </c>
      <c r="B825" t="inlineStr">
        <is>
          <t>Gastos com Desenvolvimento</t>
        </is>
      </c>
      <c r="C825" t="inlineStr">
        <is>
          <t>Prio Tigris</t>
        </is>
      </c>
      <c r="D825" t="inlineStr">
        <is>
          <t>Peregrino</t>
        </is>
      </c>
      <c r="E825" t="inlineStr">
        <is>
          <t>Engenharia de projeto (FEED/detalhamento)</t>
        </is>
      </c>
      <c r="F825" t="inlineStr">
        <is>
          <t>Amostral</t>
        </is>
      </c>
      <c r="G825" s="8" t="n">
        <v>242146.48</v>
      </c>
      <c r="H825" s="8" t="n">
        <v>242146.48</v>
      </c>
      <c r="I825" s="8">
        <f>G825-H825</f>
        <v/>
      </c>
      <c r="J825" s="11">
        <f>IF(G825=0,0,MIN(1,I825/G825))</f>
        <v/>
      </c>
    </row>
    <row r="826">
      <c r="A826" t="inlineStr">
        <is>
          <t>IMB0120231</t>
        </is>
      </c>
      <c r="B826" t="inlineStr">
        <is>
          <t>Gastos com Desenvolvimento</t>
        </is>
      </c>
      <c r="C826" t="inlineStr">
        <is>
          <t>Prio Tigris</t>
        </is>
      </c>
      <c r="D826" t="inlineStr">
        <is>
          <t>Peregrino</t>
        </is>
      </c>
      <c r="E826" t="inlineStr">
        <is>
          <t>Serviço de completação</t>
        </is>
      </c>
      <c r="F826" t="inlineStr">
        <is>
          <t>Amostral</t>
        </is>
      </c>
      <c r="G826" s="8" t="n">
        <v>59219.86</v>
      </c>
      <c r="H826" s="8" t="n">
        <v>59219.86</v>
      </c>
      <c r="I826" s="8">
        <f>G826-H826</f>
        <v/>
      </c>
      <c r="J826" s="11">
        <f>IF(G826=0,0,MIN(1,I826/G826))</f>
        <v/>
      </c>
    </row>
    <row r="827">
      <c r="A827" t="inlineStr">
        <is>
          <t>IMB0120924</t>
        </is>
      </c>
      <c r="B827" t="inlineStr">
        <is>
          <t>Gastos com Desenvolvimento</t>
        </is>
      </c>
      <c r="C827" t="inlineStr">
        <is>
          <t>Prio Forte</t>
        </is>
      </c>
      <c r="D827" t="inlineStr">
        <is>
          <t>Wahoo</t>
        </is>
      </c>
      <c r="E827" t="inlineStr">
        <is>
          <t>Serviços de ROV e mergulho</t>
        </is>
      </c>
      <c r="F827" t="inlineStr">
        <is>
          <t>Amostral</t>
        </is>
      </c>
      <c r="G827" s="8" t="n">
        <v>248618.22</v>
      </c>
      <c r="H827" s="8" t="n">
        <v>248618.22</v>
      </c>
      <c r="I827" s="8">
        <f>G827-H827</f>
        <v/>
      </c>
      <c r="J827" s="11">
        <f>IF(G827=0,0,MIN(1,I827/G827))</f>
        <v/>
      </c>
    </row>
    <row r="828">
      <c r="A828" t="inlineStr">
        <is>
          <t>IMB0121658</t>
        </is>
      </c>
      <c r="B828" t="inlineStr">
        <is>
          <t>Gastos com Desenvolvimento</t>
        </is>
      </c>
      <c r="C828" t="inlineStr">
        <is>
          <t>Prio Forte</t>
        </is>
      </c>
      <c r="D828" t="inlineStr">
        <is>
          <t>Wahoo</t>
        </is>
      </c>
      <c r="E828" t="inlineStr">
        <is>
          <t>Fornecimento de ANM</t>
        </is>
      </c>
      <c r="F828" t="inlineStr">
        <is>
          <t>Amostral</t>
        </is>
      </c>
      <c r="G828" s="8" t="n">
        <v>19302.17</v>
      </c>
      <c r="H828" s="8" t="n">
        <v>19302.17</v>
      </c>
      <c r="I828" s="8">
        <f>G828-H828</f>
        <v/>
      </c>
      <c r="J828" s="11">
        <f>IF(G828=0,0,MIN(1,I828/G828))</f>
        <v/>
      </c>
    </row>
    <row r="829">
      <c r="A829" t="inlineStr">
        <is>
          <t>IMB0122430</t>
        </is>
      </c>
      <c r="B829" t="inlineStr">
        <is>
          <t>Gastos com Desenvolvimento</t>
        </is>
      </c>
      <c r="C829" t="inlineStr">
        <is>
          <t>Prio Forte</t>
        </is>
      </c>
      <c r="D829" t="inlineStr">
        <is>
          <t>Albacora Leste</t>
        </is>
      </c>
      <c r="E829" t="inlineStr">
        <is>
          <t>Engenharia de projeto (FEED/detalhamento)</t>
        </is>
      </c>
      <c r="F829" t="inlineStr">
        <is>
          <t>Amostral</t>
        </is>
      </c>
      <c r="G829" s="8" t="n">
        <v>595766.89</v>
      </c>
      <c r="H829" s="8" t="n">
        <v>595766.89</v>
      </c>
      <c r="I829" s="8">
        <f>G829-H829</f>
        <v/>
      </c>
      <c r="J829" s="11">
        <f>IF(G829=0,0,MIN(1,I829/G829))</f>
        <v/>
      </c>
    </row>
    <row r="830">
      <c r="A830" t="inlineStr">
        <is>
          <t>IMB0123202</t>
        </is>
      </c>
      <c r="B830" t="inlineStr">
        <is>
          <t>Gastos com Desenvolvimento</t>
        </is>
      </c>
      <c r="C830" t="inlineStr">
        <is>
          <t>Prio Forte</t>
        </is>
      </c>
      <c r="D830" t="inlineStr">
        <is>
          <t>Frade</t>
        </is>
      </c>
      <c r="E830" t="inlineStr">
        <is>
          <t>Materiais aplicados em poço</t>
        </is>
      </c>
      <c r="F830" t="inlineStr">
        <is>
          <t>Amostral</t>
        </is>
      </c>
      <c r="G830" s="8" t="n">
        <v>776727.8100000001</v>
      </c>
      <c r="H830" s="8" t="n">
        <v>776727.8100000001</v>
      </c>
      <c r="I830" s="8">
        <f>G830-H830</f>
        <v/>
      </c>
      <c r="J830" s="11">
        <f>IF(G830=0,0,MIN(1,I830/G830))</f>
        <v/>
      </c>
    </row>
    <row r="831">
      <c r="A831" t="inlineStr">
        <is>
          <t>IMB0123913</t>
        </is>
      </c>
      <c r="B831" t="inlineStr">
        <is>
          <t>Gastos com Desenvolvimento</t>
        </is>
      </c>
      <c r="C831" t="inlineStr">
        <is>
          <t>Prio Forte</t>
        </is>
      </c>
      <c r="D831" t="inlineStr">
        <is>
          <t>Wahoo</t>
        </is>
      </c>
      <c r="E831" t="inlineStr">
        <is>
          <t>Embarcação de apoio - logística offshore</t>
        </is>
      </c>
      <c r="F831" t="inlineStr">
        <is>
          <t>Amostral</t>
        </is>
      </c>
      <c r="G831" s="8" t="n">
        <v>138712.03</v>
      </c>
      <c r="H831" s="8" t="n">
        <v>138712.03</v>
      </c>
      <c r="I831" s="8">
        <f>G831-H831</f>
        <v/>
      </c>
      <c r="J831" s="11">
        <f>IF(G831=0,0,MIN(1,I831/G831))</f>
        <v/>
      </c>
    </row>
    <row r="832">
      <c r="A832" t="inlineStr">
        <is>
          <t>IMB0124728</t>
        </is>
      </c>
      <c r="B832" t="inlineStr">
        <is>
          <t>Gastos com Desenvolvimento</t>
        </is>
      </c>
      <c r="C832" t="inlineStr">
        <is>
          <t>Prio Forte</t>
        </is>
      </c>
      <c r="D832" t="inlineStr">
        <is>
          <t>Frade</t>
        </is>
      </c>
      <c r="E832" t="inlineStr">
        <is>
          <t>Serviços de ROV e mergulho</t>
        </is>
      </c>
      <c r="F832" t="inlineStr">
        <is>
          <t>Amostral</t>
        </is>
      </c>
      <c r="G832" s="8" t="n">
        <v>328299.14</v>
      </c>
      <c r="H832" s="8" t="n">
        <v>328299.14</v>
      </c>
      <c r="I832" s="8">
        <f>G832-H832</f>
        <v/>
      </c>
      <c r="J832" s="11">
        <f>IF(G832=0,0,MIN(1,I832/G832))</f>
        <v/>
      </c>
    </row>
    <row r="833">
      <c r="A833" t="inlineStr">
        <is>
          <t>IMB0125484</t>
        </is>
      </c>
      <c r="B833" t="inlineStr">
        <is>
          <t>Gastos com Desenvolvimento</t>
        </is>
      </c>
      <c r="C833" t="inlineStr">
        <is>
          <t>Prio Forte</t>
        </is>
      </c>
      <c r="D833" t="inlineStr">
        <is>
          <t>Albacora Leste</t>
        </is>
      </c>
      <c r="E833" t="inlineStr">
        <is>
          <t>Fluidos e cimentação</t>
        </is>
      </c>
      <c r="F833" t="inlineStr">
        <is>
          <t>Amostral</t>
        </is>
      </c>
      <c r="G833" s="8" t="n">
        <v>72636.14999999999</v>
      </c>
      <c r="H833" s="8" t="n">
        <v>72636.14999999999</v>
      </c>
      <c r="I833" s="8">
        <f>G833-H833</f>
        <v/>
      </c>
      <c r="J833" s="11">
        <f>IF(G833=0,0,MIN(1,I833/G833))</f>
        <v/>
      </c>
    </row>
    <row r="834">
      <c r="A834" t="inlineStr">
        <is>
          <t>IMB0126195</t>
        </is>
      </c>
      <c r="B834" t="inlineStr">
        <is>
          <t>Gastos com Desenvolvimento</t>
        </is>
      </c>
      <c r="C834" t="inlineStr">
        <is>
          <t>Prio Forte</t>
        </is>
      </c>
      <c r="D834" t="inlineStr">
        <is>
          <t>Wahoo</t>
        </is>
      </c>
      <c r="E834" t="inlineStr">
        <is>
          <t>Embarcação de apoio - logística offshore</t>
        </is>
      </c>
      <c r="F834" t="inlineStr">
        <is>
          <t>Amostral</t>
        </is>
      </c>
      <c r="G834" s="8" t="n">
        <v>98764.82000000001</v>
      </c>
      <c r="H834" s="8" t="n">
        <v>98764.82000000001</v>
      </c>
      <c r="I834" s="8">
        <f>G834-H834</f>
        <v/>
      </c>
      <c r="J834" s="11">
        <f>IF(G834=0,0,MIN(1,I834/G834))</f>
        <v/>
      </c>
    </row>
    <row r="835">
      <c r="A835" t="inlineStr">
        <is>
          <t>IMB0126924</t>
        </is>
      </c>
      <c r="B835" t="inlineStr">
        <is>
          <t>Gastos com Desenvolvimento</t>
        </is>
      </c>
      <c r="C835" t="inlineStr">
        <is>
          <t>Prio Forte</t>
        </is>
      </c>
      <c r="D835" t="inlineStr">
        <is>
          <t>Wahoo</t>
        </is>
      </c>
      <c r="E835" t="inlineStr">
        <is>
          <t>Licenciamento ambiental e estudos</t>
        </is>
      </c>
      <c r="F835" t="inlineStr">
        <is>
          <t>Amostral</t>
        </is>
      </c>
      <c r="G835" s="8" t="n">
        <v>156677.12</v>
      </c>
      <c r="H835" s="8" t="n">
        <v>156677.12</v>
      </c>
      <c r="I835" s="8">
        <f>G835-H835</f>
        <v/>
      </c>
      <c r="J835" s="11">
        <f>IF(G835=0,0,MIN(1,I835/G835))</f>
        <v/>
      </c>
    </row>
    <row r="836">
      <c r="A836" t="inlineStr">
        <is>
          <t>IMB0127692</t>
        </is>
      </c>
      <c r="B836" t="inlineStr">
        <is>
          <t>Gastos com Desenvolvimento</t>
        </is>
      </c>
      <c r="C836" t="inlineStr">
        <is>
          <t>Prio Bravo</t>
        </is>
      </c>
      <c r="D836" t="inlineStr">
        <is>
          <t>Polvo &amp; TBMT</t>
        </is>
      </c>
      <c r="E836" t="inlineStr">
        <is>
          <t>Serviço de perfuração - diária de sonda</t>
        </is>
      </c>
      <c r="F836" t="inlineStr">
        <is>
          <t>Amostral</t>
        </is>
      </c>
      <c r="G836" s="8" t="n">
        <v>164404.41</v>
      </c>
      <c r="H836" s="8" t="n">
        <v>164404.41</v>
      </c>
      <c r="I836" s="8">
        <f>G836-H836</f>
        <v/>
      </c>
      <c r="J836" s="11">
        <f>IF(G836=0,0,MIN(1,I836/G836))</f>
        <v/>
      </c>
    </row>
    <row r="837">
      <c r="A837" t="inlineStr">
        <is>
          <t>IMB0128509</t>
        </is>
      </c>
      <c r="B837" t="inlineStr">
        <is>
          <t>Gastos com Desenvolvimento</t>
        </is>
      </c>
      <c r="C837" t="inlineStr">
        <is>
          <t>Prio Bravo</t>
        </is>
      </c>
      <c r="D837" t="inlineStr">
        <is>
          <t>Polvo &amp; TBMT</t>
        </is>
      </c>
      <c r="E837" t="inlineStr">
        <is>
          <t>Materiais aplicados em poço</t>
        </is>
      </c>
      <c r="F837" t="inlineStr">
        <is>
          <t>Amostral</t>
        </is>
      </c>
      <c r="G837" s="8" t="n">
        <v>53836.1</v>
      </c>
      <c r="H837" s="8" t="n">
        <v>53836.1</v>
      </c>
      <c r="I837" s="8">
        <f>G837-H837</f>
        <v/>
      </c>
      <c r="J837" s="11">
        <f>IF(G837=0,0,MIN(1,I837/G837))</f>
        <v/>
      </c>
    </row>
    <row r="838">
      <c r="A838" t="inlineStr">
        <is>
          <t>IMB0129321</t>
        </is>
      </c>
      <c r="B838" t="inlineStr">
        <is>
          <t>Gastos com Desenvolvimento</t>
        </is>
      </c>
      <c r="C838" t="inlineStr">
        <is>
          <t>Prio Forte</t>
        </is>
      </c>
      <c r="D838" t="inlineStr">
        <is>
          <t>Wahoo</t>
        </is>
      </c>
      <c r="E838" t="inlineStr">
        <is>
          <t>Interligação submarina (tieback)</t>
        </is>
      </c>
      <c r="F838" t="inlineStr">
        <is>
          <t>Amostral</t>
        </is>
      </c>
      <c r="G838" s="8" t="n">
        <v>57763.7</v>
      </c>
      <c r="H838" s="8" t="n">
        <v>57763.7</v>
      </c>
      <c r="I838" s="8">
        <f>G838-H838</f>
        <v/>
      </c>
      <c r="J838" s="11">
        <f>IF(G838=0,0,MIN(1,I838/G838))</f>
        <v/>
      </c>
    </row>
    <row r="839">
      <c r="A839" t="inlineStr">
        <is>
          <t>IMB0129993</t>
        </is>
      </c>
      <c r="B839" t="inlineStr">
        <is>
          <t>Gastos com Desenvolvimento</t>
        </is>
      </c>
      <c r="C839" t="inlineStr">
        <is>
          <t>Prio Forte</t>
        </is>
      </c>
      <c r="D839" t="inlineStr">
        <is>
          <t>Albacora Leste</t>
        </is>
      </c>
      <c r="E839" t="inlineStr">
        <is>
          <t>Serviço de perfuração - diária de sonda</t>
        </is>
      </c>
      <c r="F839" t="inlineStr">
        <is>
          <t>Amostral</t>
        </is>
      </c>
      <c r="G839" s="8" t="n">
        <v>922384.46</v>
      </c>
      <c r="H839" s="8" t="n">
        <v>922384.46</v>
      </c>
      <c r="I839" s="8">
        <f>G839-H839</f>
        <v/>
      </c>
      <c r="J839" s="11">
        <f>IF(G839=0,0,MIN(1,I839/G839))</f>
        <v/>
      </c>
    </row>
    <row r="840">
      <c r="A840" t="inlineStr">
        <is>
          <t>IMB0130817</t>
        </is>
      </c>
      <c r="B840" t="inlineStr">
        <is>
          <t>Gastos com Desenvolvimento</t>
        </is>
      </c>
      <c r="C840" t="inlineStr">
        <is>
          <t>Prio Tigris</t>
        </is>
      </c>
      <c r="D840" t="inlineStr">
        <is>
          <t>Peregrino</t>
        </is>
      </c>
      <c r="E840" t="inlineStr">
        <is>
          <t>Serviço de perfuração - diária de sonda</t>
        </is>
      </c>
      <c r="F840" t="inlineStr">
        <is>
          <t>Amostral</t>
        </is>
      </c>
      <c r="G840" s="8" t="n">
        <v>9837.120000000001</v>
      </c>
      <c r="H840" s="8" t="n">
        <v>9837.120000000001</v>
      </c>
      <c r="I840" s="8">
        <f>G840-H840</f>
        <v/>
      </c>
      <c r="J840" s="11">
        <f>IF(G840=0,0,MIN(1,I840/G840))</f>
        <v/>
      </c>
    </row>
    <row r="841">
      <c r="A841" t="inlineStr">
        <is>
          <t>IMB0131551</t>
        </is>
      </c>
      <c r="B841" t="inlineStr">
        <is>
          <t>Gastos com Desenvolvimento</t>
        </is>
      </c>
      <c r="C841" t="inlineStr">
        <is>
          <t>Prio Forte</t>
        </is>
      </c>
      <c r="D841" t="inlineStr">
        <is>
          <t>Wahoo</t>
        </is>
      </c>
      <c r="E841" t="inlineStr">
        <is>
          <t>Instalação de linhas (PLSV)</t>
        </is>
      </c>
      <c r="F841" t="inlineStr">
        <is>
          <t>Amostral</t>
        </is>
      </c>
      <c r="G841" s="8" t="n">
        <v>76477.23</v>
      </c>
      <c r="H841" s="8" t="n">
        <v>76477.23</v>
      </c>
      <c r="I841" s="8">
        <f>G841-H841</f>
        <v/>
      </c>
      <c r="J841" s="11">
        <f>IF(G841=0,0,MIN(1,I841/G841))</f>
        <v/>
      </c>
    </row>
    <row r="842">
      <c r="A842" t="inlineStr">
        <is>
          <t>IMB0132230</t>
        </is>
      </c>
      <c r="B842" t="inlineStr">
        <is>
          <t>Gastos com Desenvolvimento</t>
        </is>
      </c>
      <c r="C842" t="inlineStr">
        <is>
          <t>Prio Forte</t>
        </is>
      </c>
      <c r="D842" t="inlineStr">
        <is>
          <t>Albacora Leste</t>
        </is>
      </c>
      <c r="E842" t="inlineStr">
        <is>
          <t>Licenciamento ambiental e estudos</t>
        </is>
      </c>
      <c r="F842" t="inlineStr">
        <is>
          <t>Amostral</t>
        </is>
      </c>
      <c r="G842" s="8" t="n">
        <v>312362.15</v>
      </c>
      <c r="H842" s="8" t="n">
        <v>312362.15</v>
      </c>
      <c r="I842" s="8">
        <f>G842-H842</f>
        <v/>
      </c>
      <c r="J842" s="11">
        <f>IF(G842=0,0,MIN(1,I842/G842))</f>
        <v/>
      </c>
    </row>
    <row r="843">
      <c r="A843" t="inlineStr">
        <is>
          <t>IMB0132919</t>
        </is>
      </c>
      <c r="B843" t="inlineStr">
        <is>
          <t>Gastos com Desenvolvimento</t>
        </is>
      </c>
      <c r="C843" t="inlineStr">
        <is>
          <t>Prio Forte</t>
        </is>
      </c>
      <c r="D843" t="inlineStr">
        <is>
          <t>Albacora Leste</t>
        </is>
      </c>
      <c r="E843" t="inlineStr">
        <is>
          <t>Engenharia de projeto (FEED/detalhamento)</t>
        </is>
      </c>
      <c r="F843" t="inlineStr">
        <is>
          <t>Amostral</t>
        </is>
      </c>
      <c r="G843" s="8" t="n">
        <v>70624.36</v>
      </c>
      <c r="H843" s="8" t="n">
        <v>70624.36</v>
      </c>
      <c r="I843" s="8">
        <f>G843-H843</f>
        <v/>
      </c>
      <c r="J843" s="11">
        <f>IF(G843=0,0,MIN(1,I843/G843))</f>
        <v/>
      </c>
    </row>
    <row r="844">
      <c r="A844" t="inlineStr">
        <is>
          <t>IMB0133612</t>
        </is>
      </c>
      <c r="B844" t="inlineStr">
        <is>
          <t>Gastos com Desenvolvimento</t>
        </is>
      </c>
      <c r="C844" t="inlineStr">
        <is>
          <t>Prio Forte</t>
        </is>
      </c>
      <c r="D844" t="inlineStr">
        <is>
          <t>Wahoo</t>
        </is>
      </c>
      <c r="E844" t="inlineStr">
        <is>
          <t>Serviço de perfuração - diária de sonda</t>
        </is>
      </c>
      <c r="F844" t="inlineStr">
        <is>
          <t>Amostral</t>
        </is>
      </c>
      <c r="G844" s="8" t="n">
        <v>5954.35</v>
      </c>
      <c r="H844" s="8" t="n">
        <v>5954.35</v>
      </c>
      <c r="I844" s="8">
        <f>G844-H844</f>
        <v/>
      </c>
      <c r="J844" s="11">
        <f>IF(G844=0,0,MIN(1,I844/G844))</f>
        <v/>
      </c>
    </row>
    <row r="845">
      <c r="A845" t="inlineStr">
        <is>
          <t>IMB0134428</t>
        </is>
      </c>
      <c r="B845" t="inlineStr">
        <is>
          <t>Gastos com Desenvolvimento</t>
        </is>
      </c>
      <c r="C845" t="inlineStr">
        <is>
          <t>Prio Tigris</t>
        </is>
      </c>
      <c r="D845" t="inlineStr">
        <is>
          <t>Peregrino</t>
        </is>
      </c>
      <c r="E845" t="inlineStr">
        <is>
          <t>Serviço de completação</t>
        </is>
      </c>
      <c r="F845" t="inlineStr">
        <is>
          <t>Amostral</t>
        </is>
      </c>
      <c r="G845" s="8" t="n">
        <v>25502.72</v>
      </c>
      <c r="H845" s="8" t="n">
        <v>25502.72</v>
      </c>
      <c r="I845" s="8">
        <f>G845-H845</f>
        <v/>
      </c>
      <c r="J845" s="11">
        <f>IF(G845=0,0,MIN(1,I845/G845))</f>
        <v/>
      </c>
    </row>
    <row r="846">
      <c r="A846" t="inlineStr">
        <is>
          <t>IMB0135196</t>
        </is>
      </c>
      <c r="B846" t="inlineStr">
        <is>
          <t>Gastos com Desenvolvimento</t>
        </is>
      </c>
      <c r="C846" t="inlineStr">
        <is>
          <t>Prio Forte</t>
        </is>
      </c>
      <c r="D846" t="inlineStr">
        <is>
          <t>Wahoo</t>
        </is>
      </c>
      <c r="E846" t="inlineStr">
        <is>
          <t>Materiais aplicados em poço</t>
        </is>
      </c>
      <c r="F846" t="inlineStr">
        <is>
          <t>Amostral</t>
        </is>
      </c>
      <c r="G846" s="8" t="n">
        <v>116151.01</v>
      </c>
      <c r="H846" s="8" t="n">
        <v>116151.01</v>
      </c>
      <c r="I846" s="8">
        <f>G846-H846</f>
        <v/>
      </c>
      <c r="J846" s="11">
        <f>IF(G846=0,0,MIN(1,I846/G846))</f>
        <v/>
      </c>
    </row>
    <row r="847">
      <c r="A847" t="inlineStr">
        <is>
          <t>IMB0135872</t>
        </is>
      </c>
      <c r="B847" t="inlineStr">
        <is>
          <t>Gastos com Desenvolvimento</t>
        </is>
      </c>
      <c r="C847" t="inlineStr">
        <is>
          <t>Prio Forte</t>
        </is>
      </c>
      <c r="D847" t="inlineStr">
        <is>
          <t>Albacora Leste</t>
        </is>
      </c>
      <c r="E847" t="inlineStr">
        <is>
          <t>Juros capitalizados (CPC 20)</t>
        </is>
      </c>
      <c r="F847" t="inlineStr">
        <is>
          <t>Amostral</t>
        </is>
      </c>
      <c r="G847" s="8" t="n">
        <v>131690.34</v>
      </c>
      <c r="H847" s="8" t="n">
        <v>131690.34</v>
      </c>
      <c r="I847" s="8">
        <f>G847-H847</f>
        <v/>
      </c>
      <c r="J847" s="11">
        <f>IF(G847=0,0,MIN(1,I847/G847))</f>
        <v/>
      </c>
    </row>
    <row r="848">
      <c r="A848" t="inlineStr">
        <is>
          <t>IMB0136695</t>
        </is>
      </c>
      <c r="B848" t="inlineStr">
        <is>
          <t>Gastos com Desenvolvimento</t>
        </is>
      </c>
      <c r="C848" t="inlineStr">
        <is>
          <t>Prio Bravo</t>
        </is>
      </c>
      <c r="D848" t="inlineStr">
        <is>
          <t>Polvo &amp; TBMT</t>
        </is>
      </c>
      <c r="E848" t="inlineStr">
        <is>
          <t>Fluidos e cimentação</t>
        </is>
      </c>
      <c r="F848" t="inlineStr">
        <is>
          <t>Amostral</t>
        </is>
      </c>
      <c r="G848" s="8" t="n">
        <v>323076.38</v>
      </c>
      <c r="H848" s="8" t="n">
        <v>323076.38</v>
      </c>
      <c r="I848" s="8">
        <f>G848-H848</f>
        <v/>
      </c>
      <c r="J848" s="11">
        <f>IF(G848=0,0,MIN(1,I848/G848))</f>
        <v/>
      </c>
    </row>
    <row r="849">
      <c r="A849" t="inlineStr">
        <is>
          <t>IMB0137487</t>
        </is>
      </c>
      <c r="B849" t="inlineStr">
        <is>
          <t>Gastos com Desenvolvimento</t>
        </is>
      </c>
      <c r="C849" t="inlineStr">
        <is>
          <t>Prio Forte</t>
        </is>
      </c>
      <c r="D849" t="inlineStr">
        <is>
          <t>Wahoo</t>
        </is>
      </c>
      <c r="E849" t="inlineStr">
        <is>
          <t>Serviço de completação</t>
        </is>
      </c>
      <c r="F849" t="inlineStr">
        <is>
          <t>Amostral</t>
        </is>
      </c>
      <c r="G849" s="8" t="n">
        <v>136357.88</v>
      </c>
      <c r="H849" s="8" t="n">
        <v>136357.88</v>
      </c>
      <c r="I849" s="8">
        <f>G849-H849</f>
        <v/>
      </c>
      <c r="J849" s="11">
        <f>IF(G849=0,0,MIN(1,I849/G849))</f>
        <v/>
      </c>
    </row>
    <row r="850">
      <c r="A850" t="inlineStr">
        <is>
          <t>IMB0138284</t>
        </is>
      </c>
      <c r="B850" t="inlineStr">
        <is>
          <t>Gastos com Desenvolvimento</t>
        </is>
      </c>
      <c r="C850" t="inlineStr">
        <is>
          <t>Prio Forte</t>
        </is>
      </c>
      <c r="D850" t="inlineStr">
        <is>
          <t>Albacora Leste</t>
        </is>
      </c>
      <c r="E850" t="inlineStr">
        <is>
          <t>Juros capitalizados (CPC 20)</t>
        </is>
      </c>
      <c r="F850" t="inlineStr">
        <is>
          <t>Amostral</t>
        </is>
      </c>
      <c r="G850" s="8" t="n">
        <v>3822.6</v>
      </c>
      <c r="H850" s="8" t="n">
        <v>3822.6</v>
      </c>
      <c r="I850" s="8">
        <f>G850-H850</f>
        <v/>
      </c>
      <c r="J850" s="11">
        <f>IF(G850=0,0,MIN(1,I850/G850))</f>
        <v/>
      </c>
    </row>
    <row r="851">
      <c r="A851" t="inlineStr">
        <is>
          <t>IMB0139013</t>
        </is>
      </c>
      <c r="B851" t="inlineStr">
        <is>
          <t>Gastos com Desenvolvimento</t>
        </is>
      </c>
      <c r="C851" t="inlineStr">
        <is>
          <t>Prio Forte</t>
        </is>
      </c>
      <c r="D851" t="inlineStr">
        <is>
          <t>Albacora Leste</t>
        </is>
      </c>
      <c r="E851" t="inlineStr">
        <is>
          <t>Serviços de ROV e mergulho</t>
        </is>
      </c>
      <c r="F851" t="inlineStr">
        <is>
          <t>Amostral</t>
        </is>
      </c>
      <c r="G851" s="8" t="n">
        <v>37156.89</v>
      </c>
      <c r="H851" s="8" t="n">
        <v>37156.89</v>
      </c>
      <c r="I851" s="8">
        <f>G851-H851</f>
        <v/>
      </c>
      <c r="J851" s="11">
        <f>IF(G851=0,0,MIN(1,I851/G851))</f>
        <v/>
      </c>
    </row>
    <row r="852">
      <c r="A852" t="inlineStr">
        <is>
          <t>IMB0139771</t>
        </is>
      </c>
      <c r="B852" t="inlineStr">
        <is>
          <t>Gastos com Desenvolvimento</t>
        </is>
      </c>
      <c r="C852" t="inlineStr">
        <is>
          <t>Prio Forte</t>
        </is>
      </c>
      <c r="D852" t="inlineStr">
        <is>
          <t>Frade</t>
        </is>
      </c>
      <c r="E852" t="inlineStr">
        <is>
          <t>Serviço de perfuração - diária de sonda</t>
        </is>
      </c>
      <c r="F852" t="inlineStr">
        <is>
          <t>Amostral</t>
        </is>
      </c>
      <c r="G852" s="8" t="n">
        <v>248487.89</v>
      </c>
      <c r="H852" s="8" t="n">
        <v>248487.89</v>
      </c>
      <c r="I852" s="8">
        <f>G852-H852</f>
        <v/>
      </c>
      <c r="J852" s="11">
        <f>IF(G852=0,0,MIN(1,I852/G852))</f>
        <v/>
      </c>
    </row>
    <row r="853">
      <c r="A853" t="inlineStr">
        <is>
          <t>IMB0140574</t>
        </is>
      </c>
      <c r="B853" t="inlineStr">
        <is>
          <t>Gastos com Desenvolvimento</t>
        </is>
      </c>
      <c r="C853" t="inlineStr">
        <is>
          <t>Prio Forte</t>
        </is>
      </c>
      <c r="D853" t="inlineStr">
        <is>
          <t>Wahoo</t>
        </is>
      </c>
      <c r="E853" t="inlineStr">
        <is>
          <t>Interligação submarina (tieback)</t>
        </is>
      </c>
      <c r="F853" t="inlineStr">
        <is>
          <t>Amostral</t>
        </is>
      </c>
      <c r="G853" s="8" t="n">
        <v>235739.04</v>
      </c>
      <c r="H853" s="8" t="n">
        <v>235739.04</v>
      </c>
      <c r="I853" s="8">
        <f>G853-H853</f>
        <v/>
      </c>
      <c r="J853" s="11">
        <f>IF(G853=0,0,MIN(1,I853/G853))</f>
        <v/>
      </c>
    </row>
    <row r="854">
      <c r="A854" t="inlineStr">
        <is>
          <t>IMB0141276</t>
        </is>
      </c>
      <c r="B854" t="inlineStr">
        <is>
          <t>Gastos com Desenvolvimento</t>
        </is>
      </c>
      <c r="C854" t="inlineStr">
        <is>
          <t>Prio Forte</t>
        </is>
      </c>
      <c r="D854" t="inlineStr">
        <is>
          <t>Wahoo</t>
        </is>
      </c>
      <c r="E854" t="inlineStr">
        <is>
          <t>Engenharia de projeto (FEED/detalhamento)</t>
        </is>
      </c>
      <c r="F854" t="inlineStr">
        <is>
          <t>Amostral</t>
        </is>
      </c>
      <c r="G854" s="8" t="n">
        <v>35896.55</v>
      </c>
      <c r="H854" s="8" t="n">
        <v>35896.55</v>
      </c>
      <c r="I854" s="8">
        <f>G854-H854</f>
        <v/>
      </c>
      <c r="J854" s="11">
        <f>IF(G854=0,0,MIN(1,I854/G854))</f>
        <v/>
      </c>
    </row>
    <row r="855">
      <c r="A855" t="inlineStr">
        <is>
          <t>IMB0142021</t>
        </is>
      </c>
      <c r="B855" t="inlineStr">
        <is>
          <t>Gastos com Desenvolvimento</t>
        </is>
      </c>
      <c r="C855" t="inlineStr">
        <is>
          <t>Prio Bravo</t>
        </is>
      </c>
      <c r="D855" t="inlineStr">
        <is>
          <t>Polvo &amp; TBMT</t>
        </is>
      </c>
      <c r="E855" t="inlineStr">
        <is>
          <t>Engenharia de projeto (FEED/detalhamento)</t>
        </is>
      </c>
      <c r="F855" t="inlineStr">
        <is>
          <t>Amostral</t>
        </is>
      </c>
      <c r="G855" s="8" t="n">
        <v>47492.43</v>
      </c>
      <c r="H855" s="8" t="n">
        <v>47492.43</v>
      </c>
      <c r="I855" s="8">
        <f>G855-H855</f>
        <v/>
      </c>
      <c r="J855" s="11">
        <f>IF(G855=0,0,MIN(1,I855/G855))</f>
        <v/>
      </c>
    </row>
    <row r="856">
      <c r="A856" t="inlineStr">
        <is>
          <t>IMB0142677</t>
        </is>
      </c>
      <c r="B856" t="inlineStr">
        <is>
          <t>Gastos com Desenvolvimento</t>
        </is>
      </c>
      <c r="C856" t="inlineStr">
        <is>
          <t>Prio Forte</t>
        </is>
      </c>
      <c r="D856" t="inlineStr">
        <is>
          <t>Frade</t>
        </is>
      </c>
      <c r="E856" t="inlineStr">
        <is>
          <t>Juros capitalizados (CPC 20)</t>
        </is>
      </c>
      <c r="F856" t="inlineStr">
        <is>
          <t>Amostral</t>
        </is>
      </c>
      <c r="G856" s="8" t="n">
        <v>988865.63</v>
      </c>
      <c r="H856" s="8" t="n">
        <v>988865.63</v>
      </c>
      <c r="I856" s="8">
        <f>G856-H856</f>
        <v/>
      </c>
      <c r="J856" s="11">
        <f>IF(G856=0,0,MIN(1,I856/G856))</f>
        <v/>
      </c>
    </row>
    <row r="857">
      <c r="A857" t="inlineStr">
        <is>
          <t>IMB0143464</t>
        </is>
      </c>
      <c r="B857" t="inlineStr">
        <is>
          <t>Gastos com Desenvolvimento</t>
        </is>
      </c>
      <c r="C857" t="inlineStr">
        <is>
          <t>Prio Tigris</t>
        </is>
      </c>
      <c r="D857" t="inlineStr">
        <is>
          <t>Peregrino</t>
        </is>
      </c>
      <c r="E857" t="inlineStr">
        <is>
          <t>Engenharia de projeto (FEED/detalhamento)</t>
        </is>
      </c>
      <c r="F857" t="inlineStr">
        <is>
          <t>Amostral</t>
        </is>
      </c>
      <c r="G857" s="8" t="n">
        <v>930792.36</v>
      </c>
      <c r="H857" s="8" t="n">
        <v>930792.36</v>
      </c>
      <c r="I857" s="8">
        <f>G857-H857</f>
        <v/>
      </c>
      <c r="J857" s="11">
        <f>IF(G857=0,0,MIN(1,I857/G857))</f>
        <v/>
      </c>
    </row>
    <row r="858">
      <c r="A858" t="inlineStr">
        <is>
          <t>IMB0144171</t>
        </is>
      </c>
      <c r="B858" t="inlineStr">
        <is>
          <t>Gastos com Desenvolvimento</t>
        </is>
      </c>
      <c r="C858" t="inlineStr">
        <is>
          <t>Prio Forte</t>
        </is>
      </c>
      <c r="D858" t="inlineStr">
        <is>
          <t>Wahoo</t>
        </is>
      </c>
      <c r="E858" t="inlineStr">
        <is>
          <t>Materiais aplicados em poço</t>
        </is>
      </c>
      <c r="F858" t="inlineStr">
        <is>
          <t>Amostral</t>
        </is>
      </c>
      <c r="G858" s="8" t="n">
        <v>15046.37</v>
      </c>
      <c r="H858" s="8" t="n">
        <v>15046.37</v>
      </c>
      <c r="I858" s="8">
        <f>G858-H858</f>
        <v/>
      </c>
      <c r="J858" s="11">
        <f>IF(G858=0,0,MIN(1,I858/G858))</f>
        <v/>
      </c>
    </row>
    <row r="859">
      <c r="A859" t="inlineStr">
        <is>
          <t>IMB0145045</t>
        </is>
      </c>
      <c r="B859" t="inlineStr">
        <is>
          <t>Gastos com Desenvolvimento</t>
        </is>
      </c>
      <c r="C859" t="inlineStr">
        <is>
          <t>Prio Forte</t>
        </is>
      </c>
      <c r="D859" t="inlineStr">
        <is>
          <t>Frade</t>
        </is>
      </c>
      <c r="E859" t="inlineStr">
        <is>
          <t>Licenciamento ambiental e estudos</t>
        </is>
      </c>
      <c r="F859" t="inlineStr">
        <is>
          <t>Amostral</t>
        </is>
      </c>
      <c r="G859" s="8" t="n">
        <v>471164.48</v>
      </c>
      <c r="H859" s="8" t="n">
        <v>471164.48</v>
      </c>
      <c r="I859" s="8">
        <f>G859-H859</f>
        <v/>
      </c>
      <c r="J859" s="11">
        <f>IF(G859=0,0,MIN(1,I859/G859))</f>
        <v/>
      </c>
    </row>
    <row r="860">
      <c r="A860" t="inlineStr">
        <is>
          <t>IMB0145799</t>
        </is>
      </c>
      <c r="B860" t="inlineStr">
        <is>
          <t>Gastos com Desenvolvimento</t>
        </is>
      </c>
      <c r="C860" t="inlineStr">
        <is>
          <t>Prio Forte</t>
        </is>
      </c>
      <c r="D860" t="inlineStr">
        <is>
          <t>Frade</t>
        </is>
      </c>
      <c r="E860" t="inlineStr">
        <is>
          <t>Serviço de perfuração - diária de sonda</t>
        </is>
      </c>
      <c r="F860" t="inlineStr">
        <is>
          <t>Amostral</t>
        </is>
      </c>
      <c r="G860" s="8" t="n">
        <v>385720.05</v>
      </c>
      <c r="H860" s="8" t="n">
        <v>385720.05</v>
      </c>
      <c r="I860" s="8">
        <f>G860-H860</f>
        <v/>
      </c>
      <c r="J860" s="11">
        <f>IF(G860=0,0,MIN(1,I860/G860))</f>
        <v/>
      </c>
    </row>
    <row r="861">
      <c r="A861" t="inlineStr">
        <is>
          <t>IMB0146546</t>
        </is>
      </c>
      <c r="B861" t="inlineStr">
        <is>
          <t>Gastos com Desenvolvimento</t>
        </is>
      </c>
      <c r="C861" t="inlineStr">
        <is>
          <t>Prio Forte</t>
        </is>
      </c>
      <c r="D861" t="inlineStr">
        <is>
          <t>Frade</t>
        </is>
      </c>
      <c r="E861" t="inlineStr">
        <is>
          <t>Serviço de completação</t>
        </is>
      </c>
      <c r="F861" t="inlineStr">
        <is>
          <t>Amostral</t>
        </is>
      </c>
      <c r="G861" s="8" t="n">
        <v>23190.73</v>
      </c>
      <c r="H861" s="8" t="n">
        <v>23190.73</v>
      </c>
      <c r="I861" s="8">
        <f>G861-H861</f>
        <v/>
      </c>
      <c r="J861" s="11">
        <f>IF(G861=0,0,MIN(1,I861/G861))</f>
        <v/>
      </c>
    </row>
    <row r="862">
      <c r="A862" t="inlineStr">
        <is>
          <t>IMB0147290</t>
        </is>
      </c>
      <c r="B862" t="inlineStr">
        <is>
          <t>Gastos com Desenvolvimento</t>
        </is>
      </c>
      <c r="C862" t="inlineStr">
        <is>
          <t>Prio Bravo</t>
        </is>
      </c>
      <c r="D862" t="inlineStr">
        <is>
          <t>Polvo &amp; TBMT</t>
        </is>
      </c>
      <c r="E862" t="inlineStr">
        <is>
          <t>Fornecimento de ANM</t>
        </is>
      </c>
      <c r="F862" t="inlineStr">
        <is>
          <t>Amostral</t>
        </is>
      </c>
      <c r="G862" s="8" t="n">
        <v>58210.93</v>
      </c>
      <c r="H862" s="8" t="n">
        <v>58210.93</v>
      </c>
      <c r="I862" s="8">
        <f>G862-H862</f>
        <v/>
      </c>
      <c r="J862" s="11">
        <f>IF(G862=0,0,MIN(1,I862/G862))</f>
        <v/>
      </c>
    </row>
    <row r="863">
      <c r="A863" t="inlineStr">
        <is>
          <t>IMB0148062</t>
        </is>
      </c>
      <c r="B863" t="inlineStr">
        <is>
          <t>Gastos com Desenvolvimento</t>
        </is>
      </c>
      <c r="C863" t="inlineStr">
        <is>
          <t>Prio Tigris</t>
        </is>
      </c>
      <c r="D863" t="inlineStr">
        <is>
          <t>Peregrino</t>
        </is>
      </c>
      <c r="E863" t="inlineStr">
        <is>
          <t>Interligação submarina (tieback)</t>
        </is>
      </c>
      <c r="F863" t="inlineStr">
        <is>
          <t>Amostral</t>
        </is>
      </c>
      <c r="G863" s="8" t="n">
        <v>26343.85</v>
      </c>
      <c r="H863" s="8" t="n">
        <v>26343.85</v>
      </c>
      <c r="I863" s="8">
        <f>G863-H863</f>
        <v/>
      </c>
      <c r="J863" s="11">
        <f>IF(G863=0,0,MIN(1,I863/G863))</f>
        <v/>
      </c>
    </row>
    <row r="864">
      <c r="A864" t="inlineStr">
        <is>
          <t>IMB0148841</t>
        </is>
      </c>
      <c r="B864" t="inlineStr">
        <is>
          <t>Gastos com Desenvolvimento</t>
        </is>
      </c>
      <c r="C864" t="inlineStr">
        <is>
          <t>Prio Tigris</t>
        </is>
      </c>
      <c r="D864" t="inlineStr">
        <is>
          <t>Peregrino</t>
        </is>
      </c>
      <c r="E864" t="inlineStr">
        <is>
          <t>Serviços de ROV e mergulho</t>
        </is>
      </c>
      <c r="F864" t="inlineStr">
        <is>
          <t>Amostral</t>
        </is>
      </c>
      <c r="G864" s="8" t="n">
        <v>473862.11</v>
      </c>
      <c r="H864" s="8" t="n">
        <v>473862.11</v>
      </c>
      <c r="I864" s="8">
        <f>G864-H864</f>
        <v/>
      </c>
      <c r="J864" s="11">
        <f>IF(G864=0,0,MIN(1,I864/G864))</f>
        <v/>
      </c>
    </row>
    <row r="865">
      <c r="A865" t="inlineStr">
        <is>
          <t>IMB0149584</t>
        </is>
      </c>
      <c r="B865" t="inlineStr">
        <is>
          <t>Gastos com Desenvolvimento</t>
        </is>
      </c>
      <c r="C865" t="inlineStr">
        <is>
          <t>Prio Tigris</t>
        </is>
      </c>
      <c r="D865" t="inlineStr">
        <is>
          <t>Peregrino</t>
        </is>
      </c>
      <c r="E865" t="inlineStr">
        <is>
          <t>Serviço de perfuração - diária de sonda</t>
        </is>
      </c>
      <c r="F865" t="inlineStr">
        <is>
          <t>Amostral</t>
        </is>
      </c>
      <c r="G865" s="8" t="n">
        <v>60454.49</v>
      </c>
      <c r="H865" s="8" t="n">
        <v>60454.49</v>
      </c>
      <c r="I865" s="8">
        <f>G865-H865</f>
        <v/>
      </c>
      <c r="J865" s="11">
        <f>IF(G865=0,0,MIN(1,I865/G865))</f>
        <v/>
      </c>
    </row>
    <row r="866">
      <c r="A866" t="inlineStr">
        <is>
          <t>IMB0150415</t>
        </is>
      </c>
      <c r="B866" t="inlineStr">
        <is>
          <t>Gastos com Desenvolvimento</t>
        </is>
      </c>
      <c r="C866" t="inlineStr">
        <is>
          <t>Prio Tigris</t>
        </is>
      </c>
      <c r="D866" t="inlineStr">
        <is>
          <t>Peregrino</t>
        </is>
      </c>
      <c r="E866" t="inlineStr">
        <is>
          <t>Instalação de linhas (PLSV)</t>
        </is>
      </c>
      <c r="F866" t="inlineStr">
        <is>
          <t>Amostral</t>
        </is>
      </c>
      <c r="G866" s="8" t="n">
        <v>12654.61</v>
      </c>
      <c r="H866" s="8" t="n">
        <v>12654.61</v>
      </c>
      <c r="I866" s="8">
        <f>G866-H866</f>
        <v/>
      </c>
      <c r="J866" s="11">
        <f>IF(G866=0,0,MIN(1,I866/G866))</f>
        <v/>
      </c>
    </row>
    <row r="867">
      <c r="A867" t="inlineStr">
        <is>
          <t>IMB0151091</t>
        </is>
      </c>
      <c r="B867" t="inlineStr">
        <is>
          <t>Gastos com Desenvolvimento</t>
        </is>
      </c>
      <c r="C867" t="inlineStr">
        <is>
          <t>Prio Tigris</t>
        </is>
      </c>
      <c r="D867" t="inlineStr">
        <is>
          <t>Peregrino</t>
        </is>
      </c>
      <c r="E867" t="inlineStr">
        <is>
          <t>Licenciamento ambiental e estudos</t>
        </is>
      </c>
      <c r="F867" t="inlineStr">
        <is>
          <t>Amostral</t>
        </is>
      </c>
      <c r="G867" s="8" t="n">
        <v>625382.9300000001</v>
      </c>
      <c r="H867" s="8" t="n">
        <v>625382.9300000001</v>
      </c>
      <c r="I867" s="8">
        <f>G867-H867</f>
        <v/>
      </c>
      <c r="J867" s="11">
        <f>IF(G867=0,0,MIN(1,I867/G867))</f>
        <v/>
      </c>
    </row>
    <row r="868">
      <c r="A868" t="inlineStr">
        <is>
          <t>IMB0151955</t>
        </is>
      </c>
      <c r="B868" t="inlineStr">
        <is>
          <t>Gastos com Desenvolvimento</t>
        </is>
      </c>
      <c r="C868" t="inlineStr">
        <is>
          <t>Prio Forte</t>
        </is>
      </c>
      <c r="D868" t="inlineStr">
        <is>
          <t>Wahoo</t>
        </is>
      </c>
      <c r="E868" t="inlineStr">
        <is>
          <t>Serviço de completação</t>
        </is>
      </c>
      <c r="F868" t="inlineStr">
        <is>
          <t>Amostral</t>
        </is>
      </c>
      <c r="G868" s="8" t="n">
        <v>29811.05</v>
      </c>
      <c r="H868" s="8" t="n">
        <v>29811.05</v>
      </c>
      <c r="I868" s="8">
        <f>G868-H868</f>
        <v/>
      </c>
      <c r="J868" s="11">
        <f>IF(G868=0,0,MIN(1,I868/G868))</f>
        <v/>
      </c>
    </row>
    <row r="869">
      <c r="A869" t="inlineStr">
        <is>
          <t>IMB0152687</t>
        </is>
      </c>
      <c r="B869" t="inlineStr">
        <is>
          <t>Gastos com Desenvolvimento</t>
        </is>
      </c>
      <c r="C869" t="inlineStr">
        <is>
          <t>Prio Forte</t>
        </is>
      </c>
      <c r="D869" t="inlineStr">
        <is>
          <t>Frade</t>
        </is>
      </c>
      <c r="E869" t="inlineStr">
        <is>
          <t>Embarcação de apoio - logística offshore</t>
        </is>
      </c>
      <c r="F869" t="inlineStr">
        <is>
          <t>Amostral</t>
        </is>
      </c>
      <c r="G869" s="8" t="n">
        <v>187861.81</v>
      </c>
      <c r="H869" s="8" t="n">
        <v>187861.81</v>
      </c>
      <c r="I869" s="8">
        <f>G869-H869</f>
        <v/>
      </c>
      <c r="J869" s="11">
        <f>IF(G869=0,0,MIN(1,I869/G869))</f>
        <v/>
      </c>
    </row>
    <row r="870">
      <c r="A870" t="inlineStr">
        <is>
          <t>IMB0153402</t>
        </is>
      </c>
      <c r="B870" t="inlineStr">
        <is>
          <t>Gastos com Desenvolvimento</t>
        </is>
      </c>
      <c r="C870" t="inlineStr">
        <is>
          <t>Prio Forte</t>
        </is>
      </c>
      <c r="D870" t="inlineStr">
        <is>
          <t>Albacora Leste</t>
        </is>
      </c>
      <c r="E870" t="inlineStr">
        <is>
          <t>Instalação de linhas (PLSV)</t>
        </is>
      </c>
      <c r="F870" t="inlineStr">
        <is>
          <t>Amostral</t>
        </is>
      </c>
      <c r="G870" s="8" t="n">
        <v>44033.89</v>
      </c>
      <c r="H870" s="8" t="n">
        <v>44033.89</v>
      </c>
      <c r="I870" s="8">
        <f>G870-H870</f>
        <v/>
      </c>
      <c r="J870" s="11">
        <f>IF(G870=0,0,MIN(1,I870/G870))</f>
        <v/>
      </c>
    </row>
    <row r="871">
      <c r="A871" t="inlineStr">
        <is>
          <t>IMB0154158</t>
        </is>
      </c>
      <c r="B871" t="inlineStr">
        <is>
          <t>Gastos com Desenvolvimento</t>
        </is>
      </c>
      <c r="C871" t="inlineStr">
        <is>
          <t>Prio Forte</t>
        </is>
      </c>
      <c r="D871" t="inlineStr">
        <is>
          <t>Wahoo</t>
        </is>
      </c>
      <c r="E871" t="inlineStr">
        <is>
          <t>Materiais aplicados em poço</t>
        </is>
      </c>
      <c r="F871" t="inlineStr">
        <is>
          <t>Amostral</t>
        </is>
      </c>
      <c r="G871" s="8" t="n">
        <v>311989.47</v>
      </c>
      <c r="H871" s="8" t="n">
        <v>311989.47</v>
      </c>
      <c r="I871" s="8">
        <f>G871-H871</f>
        <v/>
      </c>
      <c r="J871" s="11">
        <f>IF(G871=0,0,MIN(1,I871/G871))</f>
        <v/>
      </c>
    </row>
    <row r="872">
      <c r="A872" t="inlineStr">
        <is>
          <t>IMB0154923</t>
        </is>
      </c>
      <c r="B872" t="inlineStr">
        <is>
          <t>Gastos com Desenvolvimento</t>
        </is>
      </c>
      <c r="C872" t="inlineStr">
        <is>
          <t>Prio Forte</t>
        </is>
      </c>
      <c r="D872" t="inlineStr">
        <is>
          <t>Wahoo</t>
        </is>
      </c>
      <c r="E872" t="inlineStr">
        <is>
          <t>Fornecimento de ANM</t>
        </is>
      </c>
      <c r="F872" t="inlineStr">
        <is>
          <t>Amostral</t>
        </is>
      </c>
      <c r="G872" s="8" t="n">
        <v>3095022.57</v>
      </c>
      <c r="H872" s="8" t="n">
        <v>3095022.57</v>
      </c>
      <c r="I872" s="8">
        <f>G872-H872</f>
        <v/>
      </c>
      <c r="J872" s="11">
        <f>IF(G872=0,0,MIN(1,I872/G872))</f>
        <v/>
      </c>
    </row>
    <row r="873">
      <c r="A873" t="inlineStr">
        <is>
          <t>IMB0155597</t>
        </is>
      </c>
      <c r="B873" t="inlineStr">
        <is>
          <t>Gastos com Desenvolvimento</t>
        </is>
      </c>
      <c r="C873" t="inlineStr">
        <is>
          <t>Prio Forte</t>
        </is>
      </c>
      <c r="D873" t="inlineStr">
        <is>
          <t>Albacora Leste</t>
        </is>
      </c>
      <c r="E873" t="inlineStr">
        <is>
          <t>Interligação submarina (tieback)</t>
        </is>
      </c>
      <c r="F873" t="inlineStr">
        <is>
          <t>Amostral</t>
        </is>
      </c>
      <c r="G873" s="8" t="n">
        <v>18338.61</v>
      </c>
      <c r="H873" s="8" t="n">
        <v>18338.61</v>
      </c>
      <c r="I873" s="8">
        <f>G873-H873</f>
        <v/>
      </c>
      <c r="J873" s="11">
        <f>IF(G873=0,0,MIN(1,I873/G873))</f>
        <v/>
      </c>
    </row>
    <row r="874">
      <c r="A874" t="inlineStr">
        <is>
          <t>IMB0156298</t>
        </is>
      </c>
      <c r="B874" t="inlineStr">
        <is>
          <t>Gastos com Desenvolvimento</t>
        </is>
      </c>
      <c r="C874" t="inlineStr">
        <is>
          <t>Prio Forte</t>
        </is>
      </c>
      <c r="D874" t="inlineStr">
        <is>
          <t>Wahoo</t>
        </is>
      </c>
      <c r="E874" t="inlineStr">
        <is>
          <t>Juros capitalizados (CPC 20)</t>
        </is>
      </c>
      <c r="F874" t="inlineStr">
        <is>
          <t>Amostral</t>
        </is>
      </c>
      <c r="G874" s="8" t="n">
        <v>43198.68</v>
      </c>
      <c r="H874" s="8" t="n">
        <v>43198.68</v>
      </c>
      <c r="I874" s="8">
        <f>G874-H874</f>
        <v/>
      </c>
      <c r="J874" s="11">
        <f>IF(G874=0,0,MIN(1,I874/G874))</f>
        <v/>
      </c>
    </row>
    <row r="875">
      <c r="A875" t="inlineStr">
        <is>
          <t>IMB0157003</t>
        </is>
      </c>
      <c r="B875" t="inlineStr">
        <is>
          <t>Gastos com Desenvolvimento</t>
        </is>
      </c>
      <c r="C875" t="inlineStr">
        <is>
          <t>Prio Bravo</t>
        </is>
      </c>
      <c r="D875" t="inlineStr">
        <is>
          <t>Polvo &amp; TBMT</t>
        </is>
      </c>
      <c r="E875" t="inlineStr">
        <is>
          <t>Fornecimento de ANM</t>
        </is>
      </c>
      <c r="F875" t="inlineStr">
        <is>
          <t>Amostral</t>
        </is>
      </c>
      <c r="G875" s="8" t="n">
        <v>19601.68</v>
      </c>
      <c r="H875" s="8" t="n">
        <v>19601.68</v>
      </c>
      <c r="I875" s="8">
        <f>G875-H875</f>
        <v/>
      </c>
      <c r="J875" s="11">
        <f>IF(G875=0,0,MIN(1,I875/G875))</f>
        <v/>
      </c>
    </row>
    <row r="876">
      <c r="A876" t="inlineStr">
        <is>
          <t>IMB0157781</t>
        </is>
      </c>
      <c r="B876" t="inlineStr">
        <is>
          <t>Gastos com Desenvolvimento</t>
        </is>
      </c>
      <c r="C876" t="inlineStr">
        <is>
          <t>Prio Forte</t>
        </is>
      </c>
      <c r="D876" t="inlineStr">
        <is>
          <t>Albacora Leste</t>
        </is>
      </c>
      <c r="E876" t="inlineStr">
        <is>
          <t>Serviços de ROV e mergulho</t>
        </is>
      </c>
      <c r="F876" t="inlineStr">
        <is>
          <t>Amostral</t>
        </is>
      </c>
      <c r="G876" s="8" t="n">
        <v>315593.03</v>
      </c>
      <c r="H876" s="8" t="n">
        <v>315593.03</v>
      </c>
      <c r="I876" s="8">
        <f>G876-H876</f>
        <v/>
      </c>
      <c r="J876" s="11">
        <f>IF(G876=0,0,MIN(1,I876/G876))</f>
        <v/>
      </c>
    </row>
    <row r="877">
      <c r="A877" t="inlineStr">
        <is>
          <t>IMB0158549</t>
        </is>
      </c>
      <c r="B877" t="inlineStr">
        <is>
          <t>Gastos com Desenvolvimento</t>
        </is>
      </c>
      <c r="C877" t="inlineStr">
        <is>
          <t>Prio Bravo</t>
        </is>
      </c>
      <c r="D877" t="inlineStr">
        <is>
          <t>Polvo &amp; TBMT</t>
        </is>
      </c>
      <c r="E877" t="inlineStr">
        <is>
          <t>Materiais aplicados em poço</t>
        </is>
      </c>
      <c r="F877" t="inlineStr">
        <is>
          <t>Amostral</t>
        </is>
      </c>
      <c r="G877" s="8" t="n">
        <v>628356.41</v>
      </c>
      <c r="H877" s="8" t="n">
        <v>628356.41</v>
      </c>
      <c r="I877" s="8">
        <f>G877-H877</f>
        <v/>
      </c>
      <c r="J877" s="11">
        <f>IF(G877=0,0,MIN(1,I877/G877))</f>
        <v/>
      </c>
    </row>
    <row r="878">
      <c r="A878" t="inlineStr">
        <is>
          <t>IMB0159209</t>
        </is>
      </c>
      <c r="B878" t="inlineStr">
        <is>
          <t>Gastos com Desenvolvimento</t>
        </is>
      </c>
      <c r="C878" t="inlineStr">
        <is>
          <t>Prio Forte</t>
        </is>
      </c>
      <c r="D878" t="inlineStr">
        <is>
          <t>Frade</t>
        </is>
      </c>
      <c r="E878" t="inlineStr">
        <is>
          <t>Engenharia de projeto (FEED/detalhamento)</t>
        </is>
      </c>
      <c r="F878" t="inlineStr">
        <is>
          <t>Amostral</t>
        </is>
      </c>
      <c r="G878" s="8" t="n">
        <v>14892.14</v>
      </c>
      <c r="H878" s="8" t="n">
        <v>14892.14</v>
      </c>
      <c r="I878" s="8">
        <f>G878-H878</f>
        <v/>
      </c>
      <c r="J878" s="11">
        <f>IF(G878=0,0,MIN(1,I878/G878))</f>
        <v/>
      </c>
    </row>
    <row r="879">
      <c r="A879" t="inlineStr">
        <is>
          <t>IMB0160003</t>
        </is>
      </c>
      <c r="B879" t="inlineStr">
        <is>
          <t>Gastos com Desenvolvimento</t>
        </is>
      </c>
      <c r="C879" t="inlineStr">
        <is>
          <t>Prio Forte</t>
        </is>
      </c>
      <c r="D879" t="inlineStr">
        <is>
          <t>Frade</t>
        </is>
      </c>
      <c r="E879" t="inlineStr">
        <is>
          <t>Embarcação de apoio - logística offshore</t>
        </is>
      </c>
      <c r="F879" t="inlineStr">
        <is>
          <t>Amostral</t>
        </is>
      </c>
      <c r="G879" s="8" t="n">
        <v>38668.85</v>
      </c>
      <c r="H879" s="8" t="n">
        <v>38668.85</v>
      </c>
      <c r="I879" s="8">
        <f>G879-H879</f>
        <v/>
      </c>
      <c r="J879" s="11">
        <f>IF(G879=0,0,MIN(1,I879/G879))</f>
        <v/>
      </c>
    </row>
    <row r="880">
      <c r="A880" t="inlineStr">
        <is>
          <t>IMB0160668</t>
        </is>
      </c>
      <c r="B880" t="inlineStr">
        <is>
          <t>Gastos com Desenvolvimento</t>
        </is>
      </c>
      <c r="C880" t="inlineStr">
        <is>
          <t>Prio Tigris</t>
        </is>
      </c>
      <c r="D880" t="inlineStr">
        <is>
          <t>Peregrino</t>
        </is>
      </c>
      <c r="E880" t="inlineStr">
        <is>
          <t>Materiais aplicados em poço</t>
        </is>
      </c>
      <c r="F880" t="inlineStr">
        <is>
          <t>Amostral</t>
        </is>
      </c>
      <c r="G880" s="8" t="n">
        <v>98726.13</v>
      </c>
      <c r="H880" s="8" t="n">
        <v>98726.13</v>
      </c>
      <c r="I880" s="8">
        <f>G880-H880</f>
        <v/>
      </c>
      <c r="J880" s="11">
        <f>IF(G880=0,0,MIN(1,I880/G880))</f>
        <v/>
      </c>
    </row>
    <row r="881">
      <c r="A881" t="inlineStr">
        <is>
          <t>IMB0161495</t>
        </is>
      </c>
      <c r="B881" t="inlineStr">
        <is>
          <t>Gastos com Desenvolvimento</t>
        </is>
      </c>
      <c r="C881" t="inlineStr">
        <is>
          <t>Prio Forte</t>
        </is>
      </c>
      <c r="D881" t="inlineStr">
        <is>
          <t>Albacora Leste</t>
        </is>
      </c>
      <c r="E881" t="inlineStr">
        <is>
          <t>Licenciamento ambiental e estudos</t>
        </is>
      </c>
      <c r="F881" t="inlineStr">
        <is>
          <t>Amostral</t>
        </is>
      </c>
      <c r="G881" s="8" t="n">
        <v>335225.88</v>
      </c>
      <c r="H881" s="8" t="n">
        <v>335225.88</v>
      </c>
      <c r="I881" s="8">
        <f>G881-H881</f>
        <v/>
      </c>
      <c r="J881" s="11">
        <f>IF(G881=0,0,MIN(1,I881/G881))</f>
        <v/>
      </c>
    </row>
    <row r="882">
      <c r="A882" t="inlineStr">
        <is>
          <t>IMB0162267</t>
        </is>
      </c>
      <c r="B882" t="inlineStr">
        <is>
          <t>Gastos com Desenvolvimento</t>
        </is>
      </c>
      <c r="C882" t="inlineStr">
        <is>
          <t>Prio Forte</t>
        </is>
      </c>
      <c r="D882" t="inlineStr">
        <is>
          <t>Albacora Leste</t>
        </is>
      </c>
      <c r="E882" t="inlineStr">
        <is>
          <t>Instalação de linhas (PLSV)</t>
        </is>
      </c>
      <c r="F882" t="inlineStr">
        <is>
          <t>Amostral</t>
        </is>
      </c>
      <c r="G882" s="8" t="n">
        <v>165514.75</v>
      </c>
      <c r="H882" s="8" t="n">
        <v>165514.75</v>
      </c>
      <c r="I882" s="8">
        <f>G882-H882</f>
        <v/>
      </c>
      <c r="J882" s="11">
        <f>IF(G882=0,0,MIN(1,I882/G882))</f>
        <v/>
      </c>
    </row>
    <row r="883">
      <c r="A883" t="inlineStr">
        <is>
          <t>IMB0163002</t>
        </is>
      </c>
      <c r="B883" t="inlineStr">
        <is>
          <t>Gastos com Desenvolvimento</t>
        </is>
      </c>
      <c r="C883" t="inlineStr">
        <is>
          <t>Prio Tigris</t>
        </is>
      </c>
      <c r="D883" t="inlineStr">
        <is>
          <t>Peregrino</t>
        </is>
      </c>
      <c r="E883" t="inlineStr">
        <is>
          <t>Instalação de linhas (PLSV)</t>
        </is>
      </c>
      <c r="F883" t="inlineStr">
        <is>
          <t>Amostral</t>
        </is>
      </c>
      <c r="G883" s="8" t="n">
        <v>11817.63</v>
      </c>
      <c r="H883" s="8" t="n">
        <v>11817.63</v>
      </c>
      <c r="I883" s="8">
        <f>G883-H883</f>
        <v/>
      </c>
      <c r="J883" s="11">
        <f>IF(G883=0,0,MIN(1,I883/G883))</f>
        <v/>
      </c>
    </row>
    <row r="884">
      <c r="A884" t="inlineStr">
        <is>
          <t>IMB0163808</t>
        </is>
      </c>
      <c r="B884" t="inlineStr">
        <is>
          <t>Gastos com Desenvolvimento</t>
        </is>
      </c>
      <c r="C884" t="inlineStr">
        <is>
          <t>Prio Tigris</t>
        </is>
      </c>
      <c r="D884" t="inlineStr">
        <is>
          <t>Peregrino</t>
        </is>
      </c>
      <c r="E884" t="inlineStr">
        <is>
          <t>Fornecimento de ANM</t>
        </is>
      </c>
      <c r="F884" t="inlineStr">
        <is>
          <t>Amostral</t>
        </is>
      </c>
      <c r="G884" s="8" t="n">
        <v>10533.49</v>
      </c>
      <c r="H884" s="8" t="n">
        <v>10533.49</v>
      </c>
      <c r="I884" s="8">
        <f>G884-H884</f>
        <v/>
      </c>
      <c r="J884" s="11">
        <f>IF(G884=0,0,MIN(1,I884/G884))</f>
        <v/>
      </c>
    </row>
    <row r="885">
      <c r="A885" t="inlineStr">
        <is>
          <t>IMB0164619</t>
        </is>
      </c>
      <c r="B885" t="inlineStr">
        <is>
          <t>Gastos com Desenvolvimento</t>
        </is>
      </c>
      <c r="C885" t="inlineStr">
        <is>
          <t>Prio Tigris</t>
        </is>
      </c>
      <c r="D885" t="inlineStr">
        <is>
          <t>Peregrino</t>
        </is>
      </c>
      <c r="E885" t="inlineStr">
        <is>
          <t>Materiais aplicados em poço</t>
        </is>
      </c>
      <c r="F885" t="inlineStr">
        <is>
          <t>Amostral</t>
        </is>
      </c>
      <c r="G885" s="8" t="n">
        <v>141361.09</v>
      </c>
      <c r="H885" s="8" t="n">
        <v>141361.09</v>
      </c>
      <c r="I885" s="8">
        <f>G885-H885</f>
        <v/>
      </c>
      <c r="J885" s="11">
        <f>IF(G885=0,0,MIN(1,I885/G885))</f>
        <v/>
      </c>
    </row>
    <row r="886">
      <c r="A886" t="inlineStr">
        <is>
          <t>IMB0165423</t>
        </is>
      </c>
      <c r="B886" t="inlineStr">
        <is>
          <t>Gastos com Desenvolvimento</t>
        </is>
      </c>
      <c r="C886" t="inlineStr">
        <is>
          <t>Prio Bravo</t>
        </is>
      </c>
      <c r="D886" t="inlineStr">
        <is>
          <t>Polvo &amp; TBMT</t>
        </is>
      </c>
      <c r="E886" t="inlineStr">
        <is>
          <t>Fluidos e cimentação</t>
        </is>
      </c>
      <c r="F886" t="inlineStr">
        <is>
          <t>Amostral</t>
        </is>
      </c>
      <c r="G886" s="8" t="n">
        <v>56656.78</v>
      </c>
      <c r="H886" s="8" t="n">
        <v>56656.78</v>
      </c>
      <c r="I886" s="8">
        <f>G886-H886</f>
        <v/>
      </c>
      <c r="J886" s="11">
        <f>IF(G886=0,0,MIN(1,I886/G886))</f>
        <v/>
      </c>
    </row>
    <row r="887">
      <c r="A887" t="inlineStr">
        <is>
          <t>IMB0166226</t>
        </is>
      </c>
      <c r="B887" t="inlineStr">
        <is>
          <t>Gastos com Desenvolvimento</t>
        </is>
      </c>
      <c r="C887" t="inlineStr">
        <is>
          <t>Prio Tigris</t>
        </is>
      </c>
      <c r="D887" t="inlineStr">
        <is>
          <t>Peregrino</t>
        </is>
      </c>
      <c r="E887" t="inlineStr">
        <is>
          <t>Fluidos e cimentação</t>
        </is>
      </c>
      <c r="F887" t="inlineStr">
        <is>
          <t>Amostral</t>
        </is>
      </c>
      <c r="G887" s="8" t="n">
        <v>37619.52</v>
      </c>
      <c r="H887" s="8" t="n">
        <v>37619.52</v>
      </c>
      <c r="I887" s="8">
        <f>G887-H887</f>
        <v/>
      </c>
      <c r="J887" s="11">
        <f>IF(G887=0,0,MIN(1,I887/G887))</f>
        <v/>
      </c>
    </row>
    <row r="888">
      <c r="A888" t="inlineStr">
        <is>
          <t>IMB0167046</t>
        </is>
      </c>
      <c r="B888" t="inlineStr">
        <is>
          <t>Gastos com Desenvolvimento</t>
        </is>
      </c>
      <c r="C888" t="inlineStr">
        <is>
          <t>Prio Forte</t>
        </is>
      </c>
      <c r="D888" t="inlineStr">
        <is>
          <t>Frade</t>
        </is>
      </c>
      <c r="E888" t="inlineStr">
        <is>
          <t>Fornecimento de ANM</t>
        </is>
      </c>
      <c r="F888" t="inlineStr">
        <is>
          <t>Amostral</t>
        </is>
      </c>
      <c r="G888" s="8" t="n">
        <v>19458.72</v>
      </c>
      <c r="H888" s="8" t="n">
        <v>19458.72</v>
      </c>
      <c r="I888" s="8">
        <f>G888-H888</f>
        <v/>
      </c>
      <c r="J888" s="11">
        <f>IF(G888=0,0,MIN(1,I888/G888))</f>
        <v/>
      </c>
    </row>
    <row r="889">
      <c r="A889" t="inlineStr">
        <is>
          <t>IMB0167757</t>
        </is>
      </c>
      <c r="B889" t="inlineStr">
        <is>
          <t>Gastos com Desenvolvimento</t>
        </is>
      </c>
      <c r="C889" t="inlineStr">
        <is>
          <t>Prio Forte</t>
        </is>
      </c>
      <c r="D889" t="inlineStr">
        <is>
          <t>Albacora Leste</t>
        </is>
      </c>
      <c r="E889" t="inlineStr">
        <is>
          <t>Engenharia de projeto (FEED/detalhamento)</t>
        </is>
      </c>
      <c r="F889" t="inlineStr">
        <is>
          <t>Amostral</t>
        </is>
      </c>
      <c r="G889" s="8" t="n">
        <v>84881.75</v>
      </c>
      <c r="H889" s="8" t="n">
        <v>84881.75</v>
      </c>
      <c r="I889" s="8">
        <f>G889-H889</f>
        <v/>
      </c>
      <c r="J889" s="11">
        <f>IF(G889=0,0,MIN(1,I889/G889))</f>
        <v/>
      </c>
    </row>
    <row r="890">
      <c r="A890" t="inlineStr">
        <is>
          <t>IMB0168587</t>
        </is>
      </c>
      <c r="B890" t="inlineStr">
        <is>
          <t>Gastos com Desenvolvimento</t>
        </is>
      </c>
      <c r="C890" t="inlineStr">
        <is>
          <t>Prio Forte</t>
        </is>
      </c>
      <c r="D890" t="inlineStr">
        <is>
          <t>Frade</t>
        </is>
      </c>
      <c r="E890" t="inlineStr">
        <is>
          <t>Engenharia de projeto (FEED/detalhamento)</t>
        </is>
      </c>
      <c r="F890" t="inlineStr">
        <is>
          <t>Amostral</t>
        </is>
      </c>
      <c r="G890" s="8" t="n">
        <v>4799.01</v>
      </c>
      <c r="H890" s="8" t="n">
        <v>4799.01</v>
      </c>
      <c r="I890" s="8">
        <f>G890-H890</f>
        <v/>
      </c>
      <c r="J890" s="11">
        <f>IF(G890=0,0,MIN(1,I890/G890))</f>
        <v/>
      </c>
    </row>
    <row r="891">
      <c r="A891" t="inlineStr">
        <is>
          <t>IMB0169302</t>
        </is>
      </c>
      <c r="B891" t="inlineStr">
        <is>
          <t>Gastos com Desenvolvimento</t>
        </is>
      </c>
      <c r="C891" t="inlineStr">
        <is>
          <t>Prio Forte</t>
        </is>
      </c>
      <c r="D891" t="inlineStr">
        <is>
          <t>Albacora Leste</t>
        </is>
      </c>
      <c r="E891" t="inlineStr">
        <is>
          <t>Embarcação de apoio - logística offshore</t>
        </is>
      </c>
      <c r="F891" t="inlineStr">
        <is>
          <t>Amostral</t>
        </is>
      </c>
      <c r="G891" s="8" t="n">
        <v>8407</v>
      </c>
      <c r="H891" s="8" t="n">
        <v>8407</v>
      </c>
      <c r="I891" s="8">
        <f>G891-H891</f>
        <v/>
      </c>
      <c r="J891" s="11">
        <f>IF(G891=0,0,MIN(1,I891/G891))</f>
        <v/>
      </c>
    </row>
    <row r="892">
      <c r="A892" t="inlineStr">
        <is>
          <t>IMB0169768</t>
        </is>
      </c>
      <c r="B892" t="inlineStr">
        <is>
          <t>Gastos com Desenvolvimento</t>
        </is>
      </c>
      <c r="C892" t="inlineStr">
        <is>
          <t>Prio Tigris</t>
        </is>
      </c>
      <c r="D892" t="inlineStr">
        <is>
          <t>Peregrino</t>
        </is>
      </c>
      <c r="E892" t="inlineStr">
        <is>
          <t>Interligação submarina (tieback)</t>
        </is>
      </c>
      <c r="F892" t="inlineStr">
        <is>
          <t>Amostral</t>
        </is>
      </c>
      <c r="G892" s="8" t="n">
        <v>215990.68</v>
      </c>
      <c r="H892" s="8" t="n">
        <v>215990.68</v>
      </c>
      <c r="I892" s="8">
        <f>G892-H892</f>
        <v/>
      </c>
      <c r="J892" s="11">
        <f>IF(G892=0,0,MIN(1,I892/G892))</f>
        <v/>
      </c>
    </row>
    <row r="893">
      <c r="A893" t="inlineStr">
        <is>
          <t>IMB0170623</t>
        </is>
      </c>
      <c r="B893" t="inlineStr">
        <is>
          <t>Gastos com Desenvolvimento</t>
        </is>
      </c>
      <c r="C893" t="inlineStr">
        <is>
          <t>Prio Forte</t>
        </is>
      </c>
      <c r="D893" t="inlineStr">
        <is>
          <t>Frade</t>
        </is>
      </c>
      <c r="E893" t="inlineStr">
        <is>
          <t>Interligação submarina (tieback)</t>
        </is>
      </c>
      <c r="F893" t="inlineStr">
        <is>
          <t>Amostral</t>
        </is>
      </c>
      <c r="G893" s="8" t="n">
        <v>146661.77</v>
      </c>
      <c r="H893" s="8" t="n">
        <v>146661.77</v>
      </c>
      <c r="I893" s="8">
        <f>G893-H893</f>
        <v/>
      </c>
      <c r="J893" s="11">
        <f>IF(G893=0,0,MIN(1,I893/G893))</f>
        <v/>
      </c>
    </row>
    <row r="894">
      <c r="A894" t="inlineStr">
        <is>
          <t>IMB0171344</t>
        </is>
      </c>
      <c r="B894" t="inlineStr">
        <is>
          <t>Gastos com Desenvolvimento</t>
        </is>
      </c>
      <c r="C894" t="inlineStr">
        <is>
          <t>Prio Forte</t>
        </is>
      </c>
      <c r="D894" t="inlineStr">
        <is>
          <t>Frade</t>
        </is>
      </c>
      <c r="E894" t="inlineStr">
        <is>
          <t>Serviços de ROV e mergulho</t>
        </is>
      </c>
      <c r="F894" t="inlineStr">
        <is>
          <t>Amostral</t>
        </is>
      </c>
      <c r="G894" s="8" t="n">
        <v>2540.51</v>
      </c>
      <c r="H894" s="8" t="n">
        <v>2540.51</v>
      </c>
      <c r="I894" s="8">
        <f>G894-H894</f>
        <v/>
      </c>
      <c r="J894" s="11">
        <f>IF(G894=0,0,MIN(1,I894/G894))</f>
        <v/>
      </c>
    </row>
    <row r="895">
      <c r="A895" t="inlineStr">
        <is>
          <t>IMB0172089</t>
        </is>
      </c>
      <c r="B895" t="inlineStr">
        <is>
          <t>Gastos com Desenvolvimento</t>
        </is>
      </c>
      <c r="C895" t="inlineStr">
        <is>
          <t>Prio Forte</t>
        </is>
      </c>
      <c r="D895" t="inlineStr">
        <is>
          <t>Albacora Leste</t>
        </is>
      </c>
      <c r="E895" t="inlineStr">
        <is>
          <t>Fluidos e cimentação</t>
        </is>
      </c>
      <c r="F895" t="inlineStr">
        <is>
          <t>Amostral</t>
        </is>
      </c>
      <c r="G895" s="8" t="n">
        <v>254252.87</v>
      </c>
      <c r="H895" s="8" t="n">
        <v>254252.87</v>
      </c>
      <c r="I895" s="8">
        <f>G895-H895</f>
        <v/>
      </c>
      <c r="J895" s="11">
        <f>IF(G895=0,0,MIN(1,I895/G895))</f>
        <v/>
      </c>
    </row>
    <row r="896">
      <c r="A896" t="inlineStr">
        <is>
          <t>IMB0172861</t>
        </is>
      </c>
      <c r="B896" t="inlineStr">
        <is>
          <t>Gastos com Desenvolvimento</t>
        </is>
      </c>
      <c r="C896" t="inlineStr">
        <is>
          <t>Prio Bravo</t>
        </is>
      </c>
      <c r="D896" t="inlineStr">
        <is>
          <t>Polvo &amp; TBMT</t>
        </is>
      </c>
      <c r="E896" t="inlineStr">
        <is>
          <t>Licenciamento ambiental e estudos</t>
        </is>
      </c>
      <c r="F896" t="inlineStr">
        <is>
          <t>Amostral</t>
        </is>
      </c>
      <c r="G896" s="8" t="n">
        <v>152280.39</v>
      </c>
      <c r="H896" s="8" t="n">
        <v>152280.39</v>
      </c>
      <c r="I896" s="8">
        <f>G896-H896</f>
        <v/>
      </c>
      <c r="J896" s="11">
        <f>IF(G896=0,0,MIN(1,I896/G896))</f>
        <v/>
      </c>
    </row>
    <row r="897">
      <c r="A897" t="inlineStr">
        <is>
          <t>IMB0173580</t>
        </is>
      </c>
      <c r="B897" t="inlineStr">
        <is>
          <t>Gastos com Desenvolvimento</t>
        </is>
      </c>
      <c r="C897" t="inlineStr">
        <is>
          <t>Prio Tigris</t>
        </is>
      </c>
      <c r="D897" t="inlineStr">
        <is>
          <t>Peregrino</t>
        </is>
      </c>
      <c r="E897" t="inlineStr">
        <is>
          <t>Instalação de linhas (PLSV)</t>
        </is>
      </c>
      <c r="F897" t="inlineStr">
        <is>
          <t>Amostral</t>
        </is>
      </c>
      <c r="G897" s="8" t="n">
        <v>158676.16</v>
      </c>
      <c r="H897" s="8" t="n">
        <v>158676.16</v>
      </c>
      <c r="I897" s="8">
        <f>G897-H897</f>
        <v/>
      </c>
      <c r="J897" s="11">
        <f>IF(G897=0,0,MIN(1,I897/G897))</f>
        <v/>
      </c>
    </row>
    <row r="898">
      <c r="A898" t="inlineStr">
        <is>
          <t>IMB0174379</t>
        </is>
      </c>
      <c r="B898" t="inlineStr">
        <is>
          <t>Gastos com Desenvolvimento</t>
        </is>
      </c>
      <c r="C898" t="inlineStr">
        <is>
          <t>Prio Forte</t>
        </is>
      </c>
      <c r="D898" t="inlineStr">
        <is>
          <t>Wahoo</t>
        </is>
      </c>
      <c r="E898" t="inlineStr">
        <is>
          <t>Embarcação de apoio - logística offshore</t>
        </is>
      </c>
      <c r="F898" t="inlineStr">
        <is>
          <t>Amostral</t>
        </is>
      </c>
      <c r="G898" s="8" t="n">
        <v>3121.65</v>
      </c>
      <c r="H898" s="8" t="n">
        <v>3121.65</v>
      </c>
      <c r="I898" s="8">
        <f>G898-H898</f>
        <v/>
      </c>
      <c r="J898" s="11">
        <f>IF(G898=0,0,MIN(1,I898/G898))</f>
        <v/>
      </c>
    </row>
    <row r="899">
      <c r="A899" t="inlineStr">
        <is>
          <t>IMB0175049</t>
        </is>
      </c>
      <c r="B899" t="inlineStr">
        <is>
          <t>Gastos com Desenvolvimento</t>
        </is>
      </c>
      <c r="C899" t="inlineStr">
        <is>
          <t>Prio Forte</t>
        </is>
      </c>
      <c r="D899" t="inlineStr">
        <is>
          <t>Frade</t>
        </is>
      </c>
      <c r="E899" t="inlineStr">
        <is>
          <t>Embarcação de apoio - logística offshore</t>
        </is>
      </c>
      <c r="F899" t="inlineStr">
        <is>
          <t>Amostral</t>
        </is>
      </c>
      <c r="G899" s="8" t="n">
        <v>676373.78</v>
      </c>
      <c r="H899" s="8" t="n">
        <v>676373.78</v>
      </c>
      <c r="I899" s="8">
        <f>G899-H899</f>
        <v/>
      </c>
      <c r="J899" s="11">
        <f>IF(G899=0,0,MIN(1,I899/G899))</f>
        <v/>
      </c>
    </row>
    <row r="900">
      <c r="A900" t="inlineStr">
        <is>
          <t>IMB0175805</t>
        </is>
      </c>
      <c r="B900" t="inlineStr">
        <is>
          <t>Gastos com Desenvolvimento</t>
        </is>
      </c>
      <c r="C900" t="inlineStr">
        <is>
          <t>Prio Forte</t>
        </is>
      </c>
      <c r="D900" t="inlineStr">
        <is>
          <t>Frade</t>
        </is>
      </c>
      <c r="E900" t="inlineStr">
        <is>
          <t>Fornecimento de ANM</t>
        </is>
      </c>
      <c r="F900" t="inlineStr">
        <is>
          <t>Amostral</t>
        </is>
      </c>
      <c r="G900" s="8" t="n">
        <v>42116.4</v>
      </c>
      <c r="H900" s="8" t="n">
        <v>42116.4</v>
      </c>
      <c r="I900" s="8">
        <f>G900-H900</f>
        <v/>
      </c>
      <c r="J900" s="11">
        <f>IF(G900=0,0,MIN(1,I900/G900))</f>
        <v/>
      </c>
    </row>
    <row r="901">
      <c r="A901" t="inlineStr">
        <is>
          <t>IMB0176497</t>
        </is>
      </c>
      <c r="B901" t="inlineStr">
        <is>
          <t>Gastos com Desenvolvimento</t>
        </is>
      </c>
      <c r="C901" t="inlineStr">
        <is>
          <t>Prio Forte</t>
        </is>
      </c>
      <c r="D901" t="inlineStr">
        <is>
          <t>Albacora Leste</t>
        </is>
      </c>
      <c r="E901" t="inlineStr">
        <is>
          <t>Interligação submarina (tieback)</t>
        </is>
      </c>
      <c r="F901" t="inlineStr">
        <is>
          <t>Amostral</t>
        </is>
      </c>
      <c r="G901" s="8" t="n">
        <v>32930.6</v>
      </c>
      <c r="H901" s="8" t="n">
        <v>32930.6</v>
      </c>
      <c r="I901" s="8">
        <f>G901-H901</f>
        <v/>
      </c>
      <c r="J901" s="11">
        <f>IF(G901=0,0,MIN(1,I901/G901))</f>
        <v/>
      </c>
    </row>
    <row r="902">
      <c r="A902" t="inlineStr">
        <is>
          <t>IMB0177163</t>
        </is>
      </c>
      <c r="B902" t="inlineStr">
        <is>
          <t>Gastos com Desenvolvimento</t>
        </is>
      </c>
      <c r="C902" t="inlineStr">
        <is>
          <t>Prio Tigris</t>
        </is>
      </c>
      <c r="D902" t="inlineStr">
        <is>
          <t>Peregrino</t>
        </is>
      </c>
      <c r="E902" t="inlineStr">
        <is>
          <t>Materiais aplicados em poço</t>
        </is>
      </c>
      <c r="F902" t="inlineStr">
        <is>
          <t>Amostral</t>
        </is>
      </c>
      <c r="G902" s="8" t="n">
        <v>85856.96000000001</v>
      </c>
      <c r="H902" s="8" t="n">
        <v>85856.96000000001</v>
      </c>
      <c r="I902" s="8">
        <f>G902-H902</f>
        <v/>
      </c>
      <c r="J902" s="11">
        <f>IF(G902=0,0,MIN(1,I902/G902))</f>
        <v/>
      </c>
    </row>
    <row r="903">
      <c r="A903" t="inlineStr">
        <is>
          <t>IMB0177945</t>
        </is>
      </c>
      <c r="B903" t="inlineStr">
        <is>
          <t>Gastos com Desenvolvimento</t>
        </is>
      </c>
      <c r="C903" t="inlineStr">
        <is>
          <t>Prio Tigris</t>
        </is>
      </c>
      <c r="D903" t="inlineStr">
        <is>
          <t>Peregrino</t>
        </is>
      </c>
      <c r="E903" t="inlineStr">
        <is>
          <t>Juros capitalizados (CPC 20)</t>
        </is>
      </c>
      <c r="F903" t="inlineStr">
        <is>
          <t>Amostral</t>
        </is>
      </c>
      <c r="G903" s="8" t="n">
        <v>637676.46</v>
      </c>
      <c r="H903" s="8" t="n">
        <v>637676.46</v>
      </c>
      <c r="I903" s="8">
        <f>G903-H903</f>
        <v/>
      </c>
      <c r="J903" s="11">
        <f>IF(G903=0,0,MIN(1,I903/G903))</f>
        <v/>
      </c>
    </row>
    <row r="904">
      <c r="A904" t="inlineStr">
        <is>
          <t>IMB0178633</t>
        </is>
      </c>
      <c r="B904" t="inlineStr">
        <is>
          <t>Gastos com Desenvolvimento</t>
        </is>
      </c>
      <c r="C904" t="inlineStr">
        <is>
          <t>Prio Bravo</t>
        </is>
      </c>
      <c r="D904" t="inlineStr">
        <is>
          <t>Polvo &amp; TBMT</t>
        </is>
      </c>
      <c r="E904" t="inlineStr">
        <is>
          <t>Serviço de perfuração - diária de sonda</t>
        </is>
      </c>
      <c r="F904" t="inlineStr">
        <is>
          <t>Amostral</t>
        </is>
      </c>
      <c r="G904" s="8" t="n">
        <v>870434.13</v>
      </c>
      <c r="H904" s="8" t="n">
        <v>870434.13</v>
      </c>
      <c r="I904" s="8">
        <f>G904-H904</f>
        <v/>
      </c>
      <c r="J904" s="11">
        <f>IF(G904=0,0,MIN(1,I904/G904))</f>
        <v/>
      </c>
    </row>
    <row r="905">
      <c r="A905" t="inlineStr">
        <is>
          <t>IMB0179187</t>
        </is>
      </c>
      <c r="B905" t="inlineStr">
        <is>
          <t>Gastos com Desenvolvimento</t>
        </is>
      </c>
      <c r="C905" t="inlineStr">
        <is>
          <t>Prio Forte</t>
        </is>
      </c>
      <c r="D905" t="inlineStr">
        <is>
          <t>Wahoo</t>
        </is>
      </c>
      <c r="E905" t="inlineStr">
        <is>
          <t>Interligação submarina (tieback)</t>
        </is>
      </c>
      <c r="F905" t="inlineStr">
        <is>
          <t>Amostral</t>
        </is>
      </c>
      <c r="G905" s="8" t="n">
        <v>253528.25</v>
      </c>
      <c r="H905" s="8" t="n">
        <v>253528.25</v>
      </c>
      <c r="I905" s="8">
        <f>G905-H905</f>
        <v/>
      </c>
      <c r="J905" s="11">
        <f>IF(G905=0,0,MIN(1,I905/G905))</f>
        <v/>
      </c>
    </row>
    <row r="906">
      <c r="A906" t="inlineStr">
        <is>
          <t>IMB0179937</t>
        </is>
      </c>
      <c r="B906" t="inlineStr">
        <is>
          <t>Gastos com Desenvolvimento</t>
        </is>
      </c>
      <c r="C906" t="inlineStr">
        <is>
          <t>Prio Tigris</t>
        </is>
      </c>
      <c r="D906" t="inlineStr">
        <is>
          <t>Peregrino</t>
        </is>
      </c>
      <c r="E906" t="inlineStr">
        <is>
          <t>Embarcação de apoio - logística offshore</t>
        </is>
      </c>
      <c r="F906" t="inlineStr">
        <is>
          <t>Amostral</t>
        </is>
      </c>
      <c r="G906" s="8" t="n">
        <v>106404.45</v>
      </c>
      <c r="H906" s="8" t="n">
        <v>106404.45</v>
      </c>
      <c r="I906" s="8">
        <f>G906-H906</f>
        <v/>
      </c>
      <c r="J906" s="11">
        <f>IF(G906=0,0,MIN(1,I906/G906))</f>
        <v/>
      </c>
    </row>
    <row r="907">
      <c r="A907" t="inlineStr">
        <is>
          <t>IMB0180676</t>
        </is>
      </c>
      <c r="B907" t="inlineStr">
        <is>
          <t>Gastos com Desenvolvimento</t>
        </is>
      </c>
      <c r="C907" t="inlineStr">
        <is>
          <t>Prio Forte</t>
        </is>
      </c>
      <c r="D907" t="inlineStr">
        <is>
          <t>Frade</t>
        </is>
      </c>
      <c r="E907" t="inlineStr">
        <is>
          <t>Juros capitalizados (CPC 20)</t>
        </is>
      </c>
      <c r="F907" t="inlineStr">
        <is>
          <t>Amostral</t>
        </is>
      </c>
      <c r="G907" s="8" t="n">
        <v>61939.3</v>
      </c>
      <c r="H907" s="8" t="n">
        <v>61939.3</v>
      </c>
      <c r="I907" s="8">
        <f>G907-H907</f>
        <v/>
      </c>
      <c r="J907" s="11">
        <f>IF(G907=0,0,MIN(1,I907/G907))</f>
        <v/>
      </c>
    </row>
    <row r="908">
      <c r="A908" t="inlineStr">
        <is>
          <t>IMB0181453</t>
        </is>
      </c>
      <c r="B908" t="inlineStr">
        <is>
          <t>Gastos com Desenvolvimento</t>
        </is>
      </c>
      <c r="C908" t="inlineStr">
        <is>
          <t>Prio Forte</t>
        </is>
      </c>
      <c r="D908" t="inlineStr">
        <is>
          <t>Frade</t>
        </is>
      </c>
      <c r="E908" t="inlineStr">
        <is>
          <t>Interligação submarina (tieback)</t>
        </is>
      </c>
      <c r="F908" t="inlineStr">
        <is>
          <t>Amostral</t>
        </is>
      </c>
      <c r="G908" s="8" t="n">
        <v>406346.19</v>
      </c>
      <c r="H908" s="8" t="n">
        <v>406346.19</v>
      </c>
      <c r="I908" s="8">
        <f>G908-H908</f>
        <v/>
      </c>
      <c r="J908" s="11">
        <f>IF(G908=0,0,MIN(1,I908/G908))</f>
        <v/>
      </c>
    </row>
    <row r="909">
      <c r="A909" t="inlineStr">
        <is>
          <t>IMB0182159</t>
        </is>
      </c>
      <c r="B909" t="inlineStr">
        <is>
          <t>Gastos com Desenvolvimento</t>
        </is>
      </c>
      <c r="C909" t="inlineStr">
        <is>
          <t>Prio Forte</t>
        </is>
      </c>
      <c r="D909" t="inlineStr">
        <is>
          <t>Albacora Leste</t>
        </is>
      </c>
      <c r="E909" t="inlineStr">
        <is>
          <t>Instalação de linhas (PLSV)</t>
        </is>
      </c>
      <c r="F909" t="inlineStr">
        <is>
          <t>Amostral</t>
        </is>
      </c>
      <c r="G909" s="8" t="n">
        <v>113131.06</v>
      </c>
      <c r="H909" s="8" t="n">
        <v>113131.06</v>
      </c>
      <c r="I909" s="8">
        <f>G909-H909</f>
        <v/>
      </c>
      <c r="J909" s="11">
        <f>IF(G909=0,0,MIN(1,I909/G909))</f>
        <v/>
      </c>
    </row>
    <row r="910">
      <c r="A910" t="inlineStr">
        <is>
          <t>IMB0182864</t>
        </is>
      </c>
      <c r="B910" t="inlineStr">
        <is>
          <t>Gastos com Desenvolvimento</t>
        </is>
      </c>
      <c r="C910" t="inlineStr">
        <is>
          <t>Prio Bravo</t>
        </is>
      </c>
      <c r="D910" t="inlineStr">
        <is>
          <t>Polvo &amp; TBMT</t>
        </is>
      </c>
      <c r="E910" t="inlineStr">
        <is>
          <t>Licenciamento ambiental e estudos</t>
        </is>
      </c>
      <c r="F910" t="inlineStr">
        <is>
          <t>Amostral</t>
        </is>
      </c>
      <c r="G910" s="8" t="n">
        <v>15230.54</v>
      </c>
      <c r="H910" s="8" t="n">
        <v>15230.54</v>
      </c>
      <c r="I910" s="8">
        <f>G910-H910</f>
        <v/>
      </c>
      <c r="J910" s="11">
        <f>IF(G910=0,0,MIN(1,I910/G910))</f>
        <v/>
      </c>
    </row>
    <row r="911">
      <c r="A911" t="inlineStr">
        <is>
          <t>IMB0183741</t>
        </is>
      </c>
      <c r="B911" t="inlineStr">
        <is>
          <t>Gastos com Desenvolvimento</t>
        </is>
      </c>
      <c r="C911" t="inlineStr">
        <is>
          <t>Prio Forte</t>
        </is>
      </c>
      <c r="D911" t="inlineStr">
        <is>
          <t>Frade</t>
        </is>
      </c>
      <c r="E911" t="inlineStr">
        <is>
          <t>Juros capitalizados (CPC 20)</t>
        </is>
      </c>
      <c r="F911" t="inlineStr">
        <is>
          <t>Amostral</t>
        </is>
      </c>
      <c r="G911" s="8" t="n">
        <v>152590.1</v>
      </c>
      <c r="H911" s="8" t="n">
        <v>152590.1</v>
      </c>
      <c r="I911" s="8">
        <f>G911-H911</f>
        <v/>
      </c>
      <c r="J911" s="11">
        <f>IF(G911=0,0,MIN(1,I911/G911))</f>
        <v/>
      </c>
    </row>
    <row r="912">
      <c r="A912" t="inlineStr">
        <is>
          <t>IMB0184545</t>
        </is>
      </c>
      <c r="B912" t="inlineStr">
        <is>
          <t>Gastos com Desenvolvimento</t>
        </is>
      </c>
      <c r="C912" t="inlineStr">
        <is>
          <t>Prio Tigris</t>
        </is>
      </c>
      <c r="D912" t="inlineStr">
        <is>
          <t>Peregrino</t>
        </is>
      </c>
      <c r="E912" t="inlineStr">
        <is>
          <t>Instalação de linhas (PLSV)</t>
        </is>
      </c>
      <c r="F912" t="inlineStr">
        <is>
          <t>Amostral</t>
        </is>
      </c>
      <c r="G912" s="8" t="n">
        <v>15494.69</v>
      </c>
      <c r="H912" s="8" t="n">
        <v>15494.69</v>
      </c>
      <c r="I912" s="8">
        <f>G912-H912</f>
        <v/>
      </c>
      <c r="J912" s="11">
        <f>IF(G912=0,0,MIN(1,I912/G912))</f>
        <v/>
      </c>
    </row>
    <row r="913">
      <c r="A913" t="inlineStr">
        <is>
          <t>IMB0185385</t>
        </is>
      </c>
      <c r="B913" t="inlineStr">
        <is>
          <t>Gastos com Desenvolvimento</t>
        </is>
      </c>
      <c r="C913" t="inlineStr">
        <is>
          <t>Prio Forte</t>
        </is>
      </c>
      <c r="D913" t="inlineStr">
        <is>
          <t>Frade</t>
        </is>
      </c>
      <c r="E913" t="inlineStr">
        <is>
          <t>Serviços de ROV e mergulho</t>
        </is>
      </c>
      <c r="F913" t="inlineStr">
        <is>
          <t>Amostral</t>
        </is>
      </c>
      <c r="G913" s="8" t="n">
        <v>66302.25</v>
      </c>
      <c r="H913" s="8" t="n">
        <v>66302.25</v>
      </c>
      <c r="I913" s="8">
        <f>G913-H913</f>
        <v/>
      </c>
      <c r="J913" s="11">
        <f>IF(G913=0,0,MIN(1,I913/G913))</f>
        <v/>
      </c>
    </row>
    <row r="914">
      <c r="A914" t="inlineStr">
        <is>
          <t>IMB0186062</t>
        </is>
      </c>
      <c r="B914" t="inlineStr">
        <is>
          <t>Gastos com Desenvolvimento</t>
        </is>
      </c>
      <c r="C914" t="inlineStr">
        <is>
          <t>Prio Forte</t>
        </is>
      </c>
      <c r="D914" t="inlineStr">
        <is>
          <t>Albacora Leste</t>
        </is>
      </c>
      <c r="E914" t="inlineStr">
        <is>
          <t>Interligação submarina (tieback)</t>
        </is>
      </c>
      <c r="F914" t="inlineStr">
        <is>
          <t>Amostral</t>
        </is>
      </c>
      <c r="G914" s="8" t="n">
        <v>32927.77</v>
      </c>
      <c r="H914" s="8" t="n">
        <v>32927.77</v>
      </c>
      <c r="I914" s="8">
        <f>G914-H914</f>
        <v/>
      </c>
      <c r="J914" s="11">
        <f>IF(G914=0,0,MIN(1,I914/G914))</f>
        <v/>
      </c>
    </row>
    <row r="915">
      <c r="A915" t="inlineStr">
        <is>
          <t>IMB0186749</t>
        </is>
      </c>
      <c r="B915" t="inlineStr">
        <is>
          <t>Gastos com Desenvolvimento</t>
        </is>
      </c>
      <c r="C915" t="inlineStr">
        <is>
          <t>Prio Tigris</t>
        </is>
      </c>
      <c r="D915" t="inlineStr">
        <is>
          <t>Peregrino</t>
        </is>
      </c>
      <c r="E915" t="inlineStr">
        <is>
          <t>Engenharia de projeto (FEED/detalhamento)</t>
        </is>
      </c>
      <c r="F915" t="inlineStr">
        <is>
          <t>Amostral</t>
        </is>
      </c>
      <c r="G915" s="8" t="n">
        <v>195345.29</v>
      </c>
      <c r="H915" s="8" t="n">
        <v>195345.29</v>
      </c>
      <c r="I915" s="8">
        <f>G915-H915</f>
        <v/>
      </c>
      <c r="J915" s="11">
        <f>IF(G915=0,0,MIN(1,I915/G915))</f>
        <v/>
      </c>
    </row>
    <row r="916">
      <c r="A916" t="inlineStr">
        <is>
          <t>IMB0187562</t>
        </is>
      </c>
      <c r="B916" t="inlineStr">
        <is>
          <t>Gastos com Desenvolvimento</t>
        </is>
      </c>
      <c r="C916" t="inlineStr">
        <is>
          <t>Prio Forte</t>
        </is>
      </c>
      <c r="D916" t="inlineStr">
        <is>
          <t>Wahoo</t>
        </is>
      </c>
      <c r="E916" t="inlineStr">
        <is>
          <t>Juros capitalizados (CPC 20)</t>
        </is>
      </c>
      <c r="F916" t="inlineStr">
        <is>
          <t>Amostral</t>
        </is>
      </c>
      <c r="G916" s="8" t="n">
        <v>359728.17</v>
      </c>
      <c r="H916" s="8" t="n">
        <v>359728.17</v>
      </c>
      <c r="I916" s="8">
        <f>G916-H916</f>
        <v/>
      </c>
      <c r="J916" s="11">
        <f>IF(G916=0,0,MIN(1,I916/G916))</f>
        <v/>
      </c>
    </row>
    <row r="917">
      <c r="A917" t="inlineStr">
        <is>
          <t>IMB0188329</t>
        </is>
      </c>
      <c r="B917" t="inlineStr">
        <is>
          <t>Gastos com Desenvolvimento</t>
        </is>
      </c>
      <c r="C917" t="inlineStr">
        <is>
          <t>Prio Tigris</t>
        </is>
      </c>
      <c r="D917" t="inlineStr">
        <is>
          <t>Peregrino</t>
        </is>
      </c>
      <c r="E917" t="inlineStr">
        <is>
          <t>Interligação submarina (tieback)</t>
        </is>
      </c>
      <c r="F917" t="inlineStr">
        <is>
          <t>Amostral</t>
        </is>
      </c>
      <c r="G917" s="8" t="n">
        <v>135604.34</v>
      </c>
      <c r="H917" s="8" t="n">
        <v>135604.34</v>
      </c>
      <c r="I917" s="8">
        <f>G917-H917</f>
        <v/>
      </c>
      <c r="J917" s="11">
        <f>IF(G917=0,0,MIN(1,I917/G917))</f>
        <v/>
      </c>
    </row>
    <row r="918">
      <c r="A918" t="inlineStr">
        <is>
          <t>IMB0189136</t>
        </is>
      </c>
      <c r="B918" t="inlineStr">
        <is>
          <t>Gastos com Desenvolvimento</t>
        </is>
      </c>
      <c r="C918" t="inlineStr">
        <is>
          <t>Prio Forte</t>
        </is>
      </c>
      <c r="D918" t="inlineStr">
        <is>
          <t>Frade</t>
        </is>
      </c>
      <c r="E918" t="inlineStr">
        <is>
          <t>Juros capitalizados (CPC 20)</t>
        </is>
      </c>
      <c r="F918" t="inlineStr">
        <is>
          <t>Amostral</t>
        </is>
      </c>
      <c r="G918" s="8" t="n">
        <v>115383.32</v>
      </c>
      <c r="H918" s="8" t="n">
        <v>115383.32</v>
      </c>
      <c r="I918" s="8">
        <f>G918-H918</f>
        <v/>
      </c>
      <c r="J918" s="11">
        <f>IF(G918=0,0,MIN(1,I918/G918))</f>
        <v/>
      </c>
    </row>
    <row r="919">
      <c r="A919" t="inlineStr">
        <is>
          <t>IMB0189853</t>
        </is>
      </c>
      <c r="B919" t="inlineStr">
        <is>
          <t>Gastos com Desenvolvimento</t>
        </is>
      </c>
      <c r="C919" t="inlineStr">
        <is>
          <t>Prio Tigris</t>
        </is>
      </c>
      <c r="D919" t="inlineStr">
        <is>
          <t>Peregrino</t>
        </is>
      </c>
      <c r="E919" t="inlineStr">
        <is>
          <t>Licenciamento ambiental e estudos</t>
        </is>
      </c>
      <c r="F919" t="inlineStr">
        <is>
          <t>Amostral</t>
        </is>
      </c>
      <c r="G919" s="8" t="n">
        <v>90765.23</v>
      </c>
      <c r="H919" s="8" t="n">
        <v>90765.23</v>
      </c>
      <c r="I919" s="8">
        <f>G919-H919</f>
        <v/>
      </c>
      <c r="J919" s="11">
        <f>IF(G919=0,0,MIN(1,I919/G919))</f>
        <v/>
      </c>
    </row>
    <row r="920">
      <c r="A920" t="inlineStr">
        <is>
          <t>IMB0190684</t>
        </is>
      </c>
      <c r="B920" t="inlineStr">
        <is>
          <t>Gastos com Desenvolvimento</t>
        </is>
      </c>
      <c r="C920" t="inlineStr">
        <is>
          <t>Prio Forte</t>
        </is>
      </c>
      <c r="D920" t="inlineStr">
        <is>
          <t>Albacora Leste</t>
        </is>
      </c>
      <c r="E920" t="inlineStr">
        <is>
          <t>Serviço de perfuração - diária de sonda</t>
        </is>
      </c>
      <c r="F920" t="inlineStr">
        <is>
          <t>Amostral</t>
        </is>
      </c>
      <c r="G920" s="8" t="n">
        <v>21673.73</v>
      </c>
      <c r="H920" s="8" t="n">
        <v>21673.73</v>
      </c>
      <c r="I920" s="8">
        <f>G920-H920</f>
        <v/>
      </c>
      <c r="J920" s="11">
        <f>IF(G920=0,0,MIN(1,I920/G920))</f>
        <v/>
      </c>
    </row>
    <row r="921">
      <c r="A921" t="inlineStr">
        <is>
          <t>IMB0191494</t>
        </is>
      </c>
      <c r="B921" t="inlineStr">
        <is>
          <t>Gastos com Desenvolvimento</t>
        </is>
      </c>
      <c r="C921" t="inlineStr">
        <is>
          <t>Prio Forte</t>
        </is>
      </c>
      <c r="D921" t="inlineStr">
        <is>
          <t>Albacora Leste</t>
        </is>
      </c>
      <c r="E921" t="inlineStr">
        <is>
          <t>Interligação submarina (tieback)</t>
        </is>
      </c>
      <c r="F921" t="inlineStr">
        <is>
          <t>Amostral</t>
        </is>
      </c>
      <c r="G921" s="8" t="n">
        <v>278946.55</v>
      </c>
      <c r="H921" s="8" t="n">
        <v>278946.55</v>
      </c>
      <c r="I921" s="8">
        <f>G921-H921</f>
        <v/>
      </c>
      <c r="J921" s="11">
        <f>IF(G921=0,0,MIN(1,I921/G921))</f>
        <v/>
      </c>
    </row>
    <row r="922">
      <c r="A922" t="inlineStr">
        <is>
          <t>IMB0192220</t>
        </is>
      </c>
      <c r="B922" t="inlineStr">
        <is>
          <t>Gastos com Desenvolvimento</t>
        </is>
      </c>
      <c r="C922" t="inlineStr">
        <is>
          <t>Prio Tigris</t>
        </is>
      </c>
      <c r="D922" t="inlineStr">
        <is>
          <t>Peregrino</t>
        </is>
      </c>
      <c r="E922" t="inlineStr">
        <is>
          <t>Serviço de perfuração - diária de sonda</t>
        </is>
      </c>
      <c r="F922" t="inlineStr">
        <is>
          <t>Amostral</t>
        </is>
      </c>
      <c r="G922" s="8" t="n">
        <v>60899.11</v>
      </c>
      <c r="H922" s="8" t="n">
        <v>60899.11</v>
      </c>
      <c r="I922" s="8">
        <f>G922-H922</f>
        <v/>
      </c>
      <c r="J922" s="11">
        <f>IF(G922=0,0,MIN(1,I922/G922))</f>
        <v/>
      </c>
    </row>
    <row r="923">
      <c r="A923" t="inlineStr">
        <is>
          <t>IMB0193051</t>
        </is>
      </c>
      <c r="B923" t="inlineStr">
        <is>
          <t>Gastos com Desenvolvimento</t>
        </is>
      </c>
      <c r="C923" t="inlineStr">
        <is>
          <t>Prio Forte</t>
        </is>
      </c>
      <c r="D923" t="inlineStr">
        <is>
          <t>Wahoo</t>
        </is>
      </c>
      <c r="E923" t="inlineStr">
        <is>
          <t>Engenharia de projeto (FEED/detalhamento)</t>
        </is>
      </c>
      <c r="F923" t="inlineStr">
        <is>
          <t>Amostral</t>
        </is>
      </c>
      <c r="G923" s="8" t="n">
        <v>101895.97</v>
      </c>
      <c r="H923" s="8" t="n">
        <v>101895.97</v>
      </c>
      <c r="I923" s="8">
        <f>G923-H923</f>
        <v/>
      </c>
      <c r="J923" s="11">
        <f>IF(G923=0,0,MIN(1,I923/G923))</f>
        <v/>
      </c>
    </row>
    <row r="924">
      <c r="A924" t="inlineStr">
        <is>
          <t>IMB0193835</t>
        </is>
      </c>
      <c r="B924" t="inlineStr">
        <is>
          <t>Gastos com Desenvolvimento</t>
        </is>
      </c>
      <c r="C924" t="inlineStr">
        <is>
          <t>Prio Forte</t>
        </is>
      </c>
      <c r="D924" t="inlineStr">
        <is>
          <t>Albacora Leste</t>
        </is>
      </c>
      <c r="E924" t="inlineStr">
        <is>
          <t>Fornecimento de ANM</t>
        </is>
      </c>
      <c r="F924" t="inlineStr">
        <is>
          <t>Amostral</t>
        </is>
      </c>
      <c r="G924" s="8" t="n">
        <v>58475.42</v>
      </c>
      <c r="H924" s="8" t="n">
        <v>58475.42</v>
      </c>
      <c r="I924" s="8">
        <f>G924-H924</f>
        <v/>
      </c>
      <c r="J924" s="11">
        <f>IF(G924=0,0,MIN(1,I924/G924))</f>
        <v/>
      </c>
    </row>
    <row r="925">
      <c r="A925" t="inlineStr">
        <is>
          <t>IMB0194487</t>
        </is>
      </c>
      <c r="B925" t="inlineStr">
        <is>
          <t>Gastos com Desenvolvimento</t>
        </is>
      </c>
      <c r="C925" t="inlineStr">
        <is>
          <t>Prio Forte</t>
        </is>
      </c>
      <c r="D925" t="inlineStr">
        <is>
          <t>Wahoo</t>
        </is>
      </c>
      <c r="E925" t="inlineStr">
        <is>
          <t>Interligação submarina (tieback)</t>
        </is>
      </c>
      <c r="F925" t="inlineStr">
        <is>
          <t>Amostral</t>
        </is>
      </c>
      <c r="G925" s="8" t="n">
        <v>85570.92</v>
      </c>
      <c r="H925" s="8" t="n">
        <v>85570.92</v>
      </c>
      <c r="I925" s="8">
        <f>G925-H925</f>
        <v/>
      </c>
      <c r="J925" s="11">
        <f>IF(G925=0,0,MIN(1,I925/G925))</f>
        <v/>
      </c>
    </row>
    <row r="926">
      <c r="A926" t="inlineStr">
        <is>
          <t>IMB0195187</t>
        </is>
      </c>
      <c r="B926" t="inlineStr">
        <is>
          <t>Gastos com Desenvolvimento</t>
        </is>
      </c>
      <c r="C926" t="inlineStr">
        <is>
          <t>Prio Bravo</t>
        </is>
      </c>
      <c r="D926" t="inlineStr">
        <is>
          <t>Polvo &amp; TBMT</t>
        </is>
      </c>
      <c r="E926" t="inlineStr">
        <is>
          <t>Instalação de linhas (PLSV)</t>
        </is>
      </c>
      <c r="F926" t="inlineStr">
        <is>
          <t>Amostral</t>
        </is>
      </c>
      <c r="G926" s="8" t="n">
        <v>323413.36</v>
      </c>
      <c r="H926" s="8" t="n">
        <v>323413.36</v>
      </c>
      <c r="I926" s="8">
        <f>G926-H926</f>
        <v/>
      </c>
      <c r="J926" s="11">
        <f>IF(G926=0,0,MIN(1,I926/G926))</f>
        <v/>
      </c>
    </row>
    <row r="927">
      <c r="A927" t="inlineStr">
        <is>
          <t>IMB0195986</t>
        </is>
      </c>
      <c r="B927" t="inlineStr">
        <is>
          <t>Gastos com Desenvolvimento</t>
        </is>
      </c>
      <c r="C927" t="inlineStr">
        <is>
          <t>Prio Forte</t>
        </is>
      </c>
      <c r="D927" t="inlineStr">
        <is>
          <t>Frade</t>
        </is>
      </c>
      <c r="E927" t="inlineStr">
        <is>
          <t>Interligação submarina (tieback)</t>
        </is>
      </c>
      <c r="F927" t="inlineStr">
        <is>
          <t>Amostral</t>
        </is>
      </c>
      <c r="G927" s="8" t="n">
        <v>42878.36</v>
      </c>
      <c r="H927" s="8" t="n">
        <v>42878.36</v>
      </c>
      <c r="I927" s="8">
        <f>G927-H927</f>
        <v/>
      </c>
      <c r="J927" s="11">
        <f>IF(G927=0,0,MIN(1,I927/G927))</f>
        <v/>
      </c>
    </row>
    <row r="928">
      <c r="A928" t="inlineStr">
        <is>
          <t>IMB0196763</t>
        </is>
      </c>
      <c r="B928" t="inlineStr">
        <is>
          <t>Gastos com Desenvolvimento</t>
        </is>
      </c>
      <c r="C928" t="inlineStr">
        <is>
          <t>Prio Forte</t>
        </is>
      </c>
      <c r="D928" t="inlineStr">
        <is>
          <t>Wahoo</t>
        </is>
      </c>
      <c r="E928" t="inlineStr">
        <is>
          <t>Serviço de completação</t>
        </is>
      </c>
      <c r="F928" t="inlineStr">
        <is>
          <t>Amostral</t>
        </is>
      </c>
      <c r="G928" s="8" t="n">
        <v>414926.6</v>
      </c>
      <c r="H928" s="8" t="n">
        <v>414926.6</v>
      </c>
      <c r="I928" s="8">
        <f>G928-H928</f>
        <v/>
      </c>
      <c r="J928" s="11">
        <f>IF(G928=0,0,MIN(1,I928/G928))</f>
        <v/>
      </c>
    </row>
    <row r="929">
      <c r="A929" t="inlineStr">
        <is>
          <t>IMB0197492</t>
        </is>
      </c>
      <c r="B929" t="inlineStr">
        <is>
          <t>Gastos com Desenvolvimento</t>
        </is>
      </c>
      <c r="C929" t="inlineStr">
        <is>
          <t>Prio Tigris</t>
        </is>
      </c>
      <c r="D929" t="inlineStr">
        <is>
          <t>Peregrino</t>
        </is>
      </c>
      <c r="E929" t="inlineStr">
        <is>
          <t>Embarcação de apoio - logística offshore</t>
        </is>
      </c>
      <c r="F929" t="inlineStr">
        <is>
          <t>Amostral</t>
        </is>
      </c>
      <c r="G929" s="8" t="n">
        <v>77992.74000000001</v>
      </c>
      <c r="H929" s="8" t="n">
        <v>77992.74000000001</v>
      </c>
      <c r="I929" s="8">
        <f>G929-H929</f>
        <v/>
      </c>
      <c r="J929" s="11">
        <f>IF(G929=0,0,MIN(1,I929/G929))</f>
        <v/>
      </c>
    </row>
    <row r="930">
      <c r="A930" t="inlineStr">
        <is>
          <t>IMB0198258</t>
        </is>
      </c>
      <c r="B930" t="inlineStr">
        <is>
          <t>Gastos com Desenvolvimento</t>
        </is>
      </c>
      <c r="C930" t="inlineStr">
        <is>
          <t>Prio Forte</t>
        </is>
      </c>
      <c r="D930" t="inlineStr">
        <is>
          <t>Frade</t>
        </is>
      </c>
      <c r="E930" t="inlineStr">
        <is>
          <t>Serviço de completação</t>
        </is>
      </c>
      <c r="F930" t="inlineStr">
        <is>
          <t>Amostral</t>
        </is>
      </c>
      <c r="G930" s="8" t="n">
        <v>58969.6</v>
      </c>
      <c r="H930" s="8" t="n">
        <v>58969.6</v>
      </c>
      <c r="I930" s="8">
        <f>G930-H930</f>
        <v/>
      </c>
      <c r="J930" s="11">
        <f>IF(G930=0,0,MIN(1,I930/G930))</f>
        <v/>
      </c>
    </row>
    <row r="931">
      <c r="A931" t="inlineStr">
        <is>
          <t>IMB0199082</t>
        </is>
      </c>
      <c r="B931" t="inlineStr">
        <is>
          <t>Gastos com Desenvolvimento</t>
        </is>
      </c>
      <c r="C931" t="inlineStr">
        <is>
          <t>Prio Forte</t>
        </is>
      </c>
      <c r="D931" t="inlineStr">
        <is>
          <t>Wahoo</t>
        </is>
      </c>
      <c r="E931" t="inlineStr">
        <is>
          <t>Fluidos e cimentação</t>
        </is>
      </c>
      <c r="F931" t="inlineStr">
        <is>
          <t>Amostral</t>
        </is>
      </c>
      <c r="G931" s="8" t="n">
        <v>88430.03999999999</v>
      </c>
      <c r="H931" s="8" t="n">
        <v>88430.03999999999</v>
      </c>
      <c r="I931" s="8">
        <f>G931-H931</f>
        <v/>
      </c>
      <c r="J931" s="11">
        <f>IF(G931=0,0,MIN(1,I931/G931))</f>
        <v/>
      </c>
    </row>
    <row r="932">
      <c r="A932" t="inlineStr">
        <is>
          <t>IMB0199699</t>
        </is>
      </c>
      <c r="B932" t="inlineStr">
        <is>
          <t>Gastos com Desenvolvimento</t>
        </is>
      </c>
      <c r="C932" t="inlineStr">
        <is>
          <t>Prio Forte</t>
        </is>
      </c>
      <c r="D932" t="inlineStr">
        <is>
          <t>Albacora Leste</t>
        </is>
      </c>
      <c r="E932" t="inlineStr">
        <is>
          <t>Interligação submarina (tieback)</t>
        </is>
      </c>
      <c r="F932" t="inlineStr">
        <is>
          <t>Amostral</t>
        </is>
      </c>
      <c r="G932" s="8" t="n">
        <v>464258.53</v>
      </c>
      <c r="H932" s="8" t="n">
        <v>464258.53</v>
      </c>
      <c r="I932" s="8">
        <f>G932-H932</f>
        <v/>
      </c>
      <c r="J932" s="11">
        <f>IF(G932=0,0,MIN(1,I932/G932))</f>
        <v/>
      </c>
    </row>
    <row r="933">
      <c r="A933" t="inlineStr">
        <is>
          <t>IMB0200458</t>
        </is>
      </c>
      <c r="B933" t="inlineStr">
        <is>
          <t>Gastos com Desenvolvimento</t>
        </is>
      </c>
      <c r="C933" t="inlineStr">
        <is>
          <t>Prio Forte</t>
        </is>
      </c>
      <c r="D933" t="inlineStr">
        <is>
          <t>Frade</t>
        </is>
      </c>
      <c r="E933" t="inlineStr">
        <is>
          <t>Fornecimento de ANM</t>
        </is>
      </c>
      <c r="F933" t="inlineStr">
        <is>
          <t>Amostral</t>
        </is>
      </c>
      <c r="G933" s="8" t="n">
        <v>329270.24</v>
      </c>
      <c r="H933" s="8" t="n">
        <v>329270.24</v>
      </c>
      <c r="I933" s="8">
        <f>G933-H933</f>
        <v/>
      </c>
      <c r="J933" s="11">
        <f>IF(G933=0,0,MIN(1,I933/G933))</f>
        <v/>
      </c>
    </row>
    <row r="934">
      <c r="A934" t="inlineStr">
        <is>
          <t>IMB0201261</t>
        </is>
      </c>
      <c r="B934" t="inlineStr">
        <is>
          <t>Gastos com Desenvolvimento</t>
        </is>
      </c>
      <c r="C934" t="inlineStr">
        <is>
          <t>Prio Tigris</t>
        </is>
      </c>
      <c r="D934" t="inlineStr">
        <is>
          <t>Peregrino</t>
        </is>
      </c>
      <c r="E934" t="inlineStr">
        <is>
          <t>Serviço de perfuração - diária de sonda</t>
        </is>
      </c>
      <c r="F934" t="inlineStr">
        <is>
          <t>Amostral</t>
        </is>
      </c>
      <c r="G934" s="8" t="n">
        <v>251436.9</v>
      </c>
      <c r="H934" s="8" t="n">
        <v>251436.9</v>
      </c>
      <c r="I934" s="8">
        <f>G934-H934</f>
        <v/>
      </c>
      <c r="J934" s="11">
        <f>IF(G934=0,0,MIN(1,I934/G934))</f>
        <v/>
      </c>
    </row>
    <row r="935">
      <c r="A935" t="inlineStr">
        <is>
          <t>IMB0201968</t>
        </is>
      </c>
      <c r="B935" t="inlineStr">
        <is>
          <t>Gastos com Desenvolvimento</t>
        </is>
      </c>
      <c r="C935" t="inlineStr">
        <is>
          <t>Prio Tigris</t>
        </is>
      </c>
      <c r="D935" t="inlineStr">
        <is>
          <t>Peregrino</t>
        </is>
      </c>
      <c r="E935" t="inlineStr">
        <is>
          <t>Instalação de linhas (PLSV)</t>
        </is>
      </c>
      <c r="F935" t="inlineStr">
        <is>
          <t>Amostral</t>
        </is>
      </c>
      <c r="G935" s="8" t="n">
        <v>169696.67</v>
      </c>
      <c r="H935" s="8" t="n">
        <v>169696.67</v>
      </c>
      <c r="I935" s="8">
        <f>G935-H935</f>
        <v/>
      </c>
      <c r="J935" s="11">
        <f>IF(G935=0,0,MIN(1,I935/G935))</f>
        <v/>
      </c>
    </row>
    <row r="936">
      <c r="A936" t="inlineStr">
        <is>
          <t>IMB0202757</t>
        </is>
      </c>
      <c r="B936" t="inlineStr">
        <is>
          <t>Gastos com Desenvolvimento</t>
        </is>
      </c>
      <c r="C936" t="inlineStr">
        <is>
          <t>Prio Forte</t>
        </is>
      </c>
      <c r="D936" t="inlineStr">
        <is>
          <t>Albacora Leste</t>
        </is>
      </c>
      <c r="E936" t="inlineStr">
        <is>
          <t>Materiais aplicados em poço</t>
        </is>
      </c>
      <c r="F936" t="inlineStr">
        <is>
          <t>Amostral</t>
        </is>
      </c>
      <c r="G936" s="8" t="n">
        <v>52285.96</v>
      </c>
      <c r="H936" s="8" t="n">
        <v>52285.96</v>
      </c>
      <c r="I936" s="8">
        <f>G936-H936</f>
        <v/>
      </c>
      <c r="J936" s="11">
        <f>IF(G936=0,0,MIN(1,I936/G936))</f>
        <v/>
      </c>
    </row>
    <row r="937">
      <c r="A937" t="inlineStr">
        <is>
          <t>IMB0203588</t>
        </is>
      </c>
      <c r="B937" t="inlineStr">
        <is>
          <t>Gastos com Desenvolvimento</t>
        </is>
      </c>
      <c r="C937" t="inlineStr">
        <is>
          <t>Prio Tigris</t>
        </is>
      </c>
      <c r="D937" t="inlineStr">
        <is>
          <t>Peregrino</t>
        </is>
      </c>
      <c r="E937" t="inlineStr">
        <is>
          <t>Licenciamento ambiental e estudos</t>
        </is>
      </c>
      <c r="F937" t="inlineStr">
        <is>
          <t>Amostral</t>
        </is>
      </c>
      <c r="G937" s="8" t="n">
        <v>32136.87</v>
      </c>
      <c r="H937" s="8" t="n">
        <v>32136.87</v>
      </c>
      <c r="I937" s="8">
        <f>G937-H937</f>
        <v/>
      </c>
      <c r="J937" s="11">
        <f>IF(G937=0,0,MIN(1,I937/G937))</f>
        <v/>
      </c>
    </row>
    <row r="938">
      <c r="A938" t="inlineStr">
        <is>
          <t>IMB0204333</t>
        </is>
      </c>
      <c r="B938" t="inlineStr">
        <is>
          <t>Gastos com Desenvolvimento</t>
        </is>
      </c>
      <c r="C938" t="inlineStr">
        <is>
          <t>Prio Forte</t>
        </is>
      </c>
      <c r="D938" t="inlineStr">
        <is>
          <t>Frade</t>
        </is>
      </c>
      <c r="E938" t="inlineStr">
        <is>
          <t>Fluidos e cimentação</t>
        </is>
      </c>
      <c r="F938" t="inlineStr">
        <is>
          <t>Amostral</t>
        </is>
      </c>
      <c r="G938" s="8" t="n">
        <v>864314.91</v>
      </c>
      <c r="H938" s="8" t="n">
        <v>864314.91</v>
      </c>
      <c r="I938" s="8">
        <f>G938-H938</f>
        <v/>
      </c>
      <c r="J938" s="11">
        <f>IF(G938=0,0,MIN(1,I938/G938))</f>
        <v/>
      </c>
    </row>
    <row r="939">
      <c r="A939" t="inlineStr">
        <is>
          <t>IMB0205025</t>
        </is>
      </c>
      <c r="B939" t="inlineStr">
        <is>
          <t>Gastos com Desenvolvimento</t>
        </is>
      </c>
      <c r="C939" t="inlineStr">
        <is>
          <t>Prio Tigris</t>
        </is>
      </c>
      <c r="D939" t="inlineStr">
        <is>
          <t>Peregrino</t>
        </is>
      </c>
      <c r="E939" t="inlineStr">
        <is>
          <t>Serviço de perfuração - diária de sonda</t>
        </is>
      </c>
      <c r="F939" t="inlineStr">
        <is>
          <t>Amostral</t>
        </is>
      </c>
      <c r="G939" s="8" t="n">
        <v>337978.5</v>
      </c>
      <c r="H939" s="8" t="n">
        <v>337978.5</v>
      </c>
      <c r="I939" s="8">
        <f>G939-H939</f>
        <v/>
      </c>
      <c r="J939" s="11">
        <f>IF(G939=0,0,MIN(1,I939/G939))</f>
        <v/>
      </c>
    </row>
    <row r="940">
      <c r="A940" t="inlineStr">
        <is>
          <t>IMB0205689</t>
        </is>
      </c>
      <c r="B940" t="inlineStr">
        <is>
          <t>Gastos com Desenvolvimento</t>
        </is>
      </c>
      <c r="C940" t="inlineStr">
        <is>
          <t>Prio Forte</t>
        </is>
      </c>
      <c r="D940" t="inlineStr">
        <is>
          <t>Wahoo</t>
        </is>
      </c>
      <c r="E940" t="inlineStr">
        <is>
          <t>Materiais aplicados em poço</t>
        </is>
      </c>
      <c r="F940" t="inlineStr">
        <is>
          <t>Amostral</t>
        </is>
      </c>
      <c r="G940" s="8" t="n">
        <v>5584.97</v>
      </c>
      <c r="H940" s="8" t="n">
        <v>5584.97</v>
      </c>
      <c r="I940" s="8">
        <f>G940-H940</f>
        <v/>
      </c>
      <c r="J940" s="11">
        <f>IF(G940=0,0,MIN(1,I940/G940))</f>
        <v/>
      </c>
    </row>
    <row r="941">
      <c r="A941" t="inlineStr">
        <is>
          <t>IMB0206477</t>
        </is>
      </c>
      <c r="B941" t="inlineStr">
        <is>
          <t>Gastos com Desenvolvimento</t>
        </is>
      </c>
      <c r="C941" t="inlineStr">
        <is>
          <t>Prio Forte</t>
        </is>
      </c>
      <c r="D941" t="inlineStr">
        <is>
          <t>Frade</t>
        </is>
      </c>
      <c r="E941" t="inlineStr">
        <is>
          <t>Juros capitalizados (CPC 20)</t>
        </is>
      </c>
      <c r="F941" t="inlineStr">
        <is>
          <t>Amostral</t>
        </is>
      </c>
      <c r="G941" s="8" t="n">
        <v>320435.24</v>
      </c>
      <c r="H941" s="8" t="n">
        <v>320435.24</v>
      </c>
      <c r="I941" s="8">
        <f>G941-H941</f>
        <v/>
      </c>
      <c r="J941" s="11">
        <f>IF(G941=0,0,MIN(1,I941/G941))</f>
        <v/>
      </c>
    </row>
    <row r="942">
      <c r="A942" t="inlineStr">
        <is>
          <t>IMB0207252</t>
        </is>
      </c>
      <c r="B942" t="inlineStr">
        <is>
          <t>Gastos com Desenvolvimento</t>
        </is>
      </c>
      <c r="C942" t="inlineStr">
        <is>
          <t>Prio Forte</t>
        </is>
      </c>
      <c r="D942" t="inlineStr">
        <is>
          <t>Frade</t>
        </is>
      </c>
      <c r="E942" t="inlineStr">
        <is>
          <t>Juros capitalizados (CPC 20)</t>
        </is>
      </c>
      <c r="F942" t="inlineStr">
        <is>
          <t>Amostral</t>
        </is>
      </c>
      <c r="G942" s="8" t="n">
        <v>100001.57</v>
      </c>
      <c r="H942" s="8" t="n">
        <v>100001.57</v>
      </c>
      <c r="I942" s="8">
        <f>G942-H942</f>
        <v/>
      </c>
      <c r="J942" s="11">
        <f>IF(G942=0,0,MIN(1,I942/G942))</f>
        <v/>
      </c>
    </row>
    <row r="943">
      <c r="A943" t="inlineStr">
        <is>
          <t>IMB0207994</t>
        </is>
      </c>
      <c r="B943" t="inlineStr">
        <is>
          <t>Gastos com Desenvolvimento</t>
        </is>
      </c>
      <c r="C943" t="inlineStr">
        <is>
          <t>Prio Forte</t>
        </is>
      </c>
      <c r="D943" t="inlineStr">
        <is>
          <t>Frade</t>
        </is>
      </c>
      <c r="E943" t="inlineStr">
        <is>
          <t>Serviços de ROV e mergulho</t>
        </is>
      </c>
      <c r="F943" t="inlineStr">
        <is>
          <t>Amostral</t>
        </is>
      </c>
      <c r="G943" s="8" t="n">
        <v>67643.92</v>
      </c>
      <c r="H943" s="8" t="n">
        <v>67643.92</v>
      </c>
      <c r="I943" s="8">
        <f>G943-H943</f>
        <v/>
      </c>
      <c r="J943" s="11">
        <f>IF(G943=0,0,MIN(1,I943/G943))</f>
        <v/>
      </c>
    </row>
    <row r="944">
      <c r="A944" t="inlineStr">
        <is>
          <t>IMB0208775</t>
        </is>
      </c>
      <c r="B944" t="inlineStr">
        <is>
          <t>Gastos com Desenvolvimento</t>
        </is>
      </c>
      <c r="C944" t="inlineStr">
        <is>
          <t>Prio Forte</t>
        </is>
      </c>
      <c r="D944" t="inlineStr">
        <is>
          <t>Frade</t>
        </is>
      </c>
      <c r="E944" t="inlineStr">
        <is>
          <t>Instalação de linhas (PLSV)</t>
        </is>
      </c>
      <c r="F944" t="inlineStr">
        <is>
          <t>Amostral</t>
        </is>
      </c>
      <c r="G944" s="8" t="n">
        <v>118964.92</v>
      </c>
      <c r="H944" s="8" t="n">
        <v>118964.92</v>
      </c>
      <c r="I944" s="8">
        <f>G944-H944</f>
        <v/>
      </c>
      <c r="J944" s="11">
        <f>IF(G944=0,0,MIN(1,I944/G944))</f>
        <v/>
      </c>
    </row>
    <row r="945">
      <c r="A945" t="inlineStr">
        <is>
          <t>IMB0209529</t>
        </is>
      </c>
      <c r="B945" t="inlineStr">
        <is>
          <t>Gastos com Desenvolvimento</t>
        </is>
      </c>
      <c r="C945" t="inlineStr">
        <is>
          <t>Prio Tigris</t>
        </is>
      </c>
      <c r="D945" t="inlineStr">
        <is>
          <t>Peregrino</t>
        </is>
      </c>
      <c r="E945" t="inlineStr">
        <is>
          <t>Serviço de completação</t>
        </is>
      </c>
      <c r="F945" t="inlineStr">
        <is>
          <t>Amostral</t>
        </is>
      </c>
      <c r="G945" s="8" t="n">
        <v>787120.58</v>
      </c>
      <c r="H945" s="8" t="n">
        <v>787120.58</v>
      </c>
      <c r="I945" s="8">
        <f>G945-H945</f>
        <v/>
      </c>
      <c r="J945" s="11">
        <f>IF(G945=0,0,MIN(1,I945/G945))</f>
        <v/>
      </c>
    </row>
    <row r="946">
      <c r="A946" t="inlineStr">
        <is>
          <t>IMB0210111</t>
        </is>
      </c>
      <c r="B946" t="inlineStr">
        <is>
          <t>Gastos com Desenvolvimento</t>
        </is>
      </c>
      <c r="C946" t="inlineStr">
        <is>
          <t>Prio Forte</t>
        </is>
      </c>
      <c r="D946" t="inlineStr">
        <is>
          <t>Frade</t>
        </is>
      </c>
      <c r="E946" t="inlineStr">
        <is>
          <t>Licenciamento ambiental e estudos</t>
        </is>
      </c>
      <c r="F946" t="inlineStr">
        <is>
          <t>Amostral</t>
        </is>
      </c>
      <c r="G946" s="8" t="n">
        <v>24551.03</v>
      </c>
      <c r="H946" s="8" t="n">
        <v>24551.03</v>
      </c>
      <c r="I946" s="8">
        <f>G946-H946</f>
        <v/>
      </c>
      <c r="J946" s="11">
        <f>IF(G946=0,0,MIN(1,I946/G946))</f>
        <v/>
      </c>
    </row>
    <row r="947">
      <c r="A947" t="inlineStr">
        <is>
          <t>IMB0210844</t>
        </is>
      </c>
      <c r="B947" t="inlineStr">
        <is>
          <t>Gastos com Desenvolvimento</t>
        </is>
      </c>
      <c r="C947" t="inlineStr">
        <is>
          <t>Prio Forte</t>
        </is>
      </c>
      <c r="D947" t="inlineStr">
        <is>
          <t>Frade</t>
        </is>
      </c>
      <c r="E947" t="inlineStr">
        <is>
          <t>Serviço de perfuração - diária de sonda</t>
        </is>
      </c>
      <c r="F947" t="inlineStr">
        <is>
          <t>Amostral</t>
        </is>
      </c>
      <c r="G947" s="8" t="n">
        <v>422639.28</v>
      </c>
      <c r="H947" s="8" t="n">
        <v>422639.28</v>
      </c>
      <c r="I947" s="8">
        <f>G947-H947</f>
        <v/>
      </c>
      <c r="J947" s="11">
        <f>IF(G947=0,0,MIN(1,I947/G947))</f>
        <v/>
      </c>
    </row>
    <row r="948">
      <c r="A948" t="inlineStr">
        <is>
          <t>IMB0211561</t>
        </is>
      </c>
      <c r="B948" t="inlineStr">
        <is>
          <t>Gastos com Desenvolvimento</t>
        </is>
      </c>
      <c r="C948" t="inlineStr">
        <is>
          <t>Prio Forte</t>
        </is>
      </c>
      <c r="D948" t="inlineStr">
        <is>
          <t>Frade</t>
        </is>
      </c>
      <c r="E948" t="inlineStr">
        <is>
          <t>Engenharia de projeto (FEED/detalhamento)</t>
        </is>
      </c>
      <c r="F948" t="inlineStr">
        <is>
          <t>Amostral</t>
        </is>
      </c>
      <c r="G948" s="8" t="n">
        <v>407928.42</v>
      </c>
      <c r="H948" s="8" t="n">
        <v>407928.42</v>
      </c>
      <c r="I948" s="8">
        <f>G948-H948</f>
        <v/>
      </c>
      <c r="J948" s="11">
        <f>IF(G948=0,0,MIN(1,I948/G948))</f>
        <v/>
      </c>
    </row>
    <row r="949">
      <c r="A949" t="inlineStr">
        <is>
          <t>IMB0212367</t>
        </is>
      </c>
      <c r="B949" t="inlineStr">
        <is>
          <t>Gastos com Desenvolvimento</t>
        </is>
      </c>
      <c r="C949" t="inlineStr">
        <is>
          <t>Prio Tigris</t>
        </is>
      </c>
      <c r="D949" t="inlineStr">
        <is>
          <t>Peregrino</t>
        </is>
      </c>
      <c r="E949" t="inlineStr">
        <is>
          <t>Licenciamento ambiental e estudos</t>
        </is>
      </c>
      <c r="F949" t="inlineStr">
        <is>
          <t>Amostral</t>
        </is>
      </c>
      <c r="G949" s="8" t="n">
        <v>281744.9</v>
      </c>
      <c r="H949" s="8" t="n">
        <v>281744.9</v>
      </c>
      <c r="I949" s="8">
        <f>G949-H949</f>
        <v/>
      </c>
      <c r="J949" s="11">
        <f>IF(G949=0,0,MIN(1,I949/G949))</f>
        <v/>
      </c>
    </row>
    <row r="950">
      <c r="A950" t="inlineStr">
        <is>
          <t>IMB0213131</t>
        </is>
      </c>
      <c r="B950" t="inlineStr">
        <is>
          <t>Gastos com Desenvolvimento</t>
        </is>
      </c>
      <c r="C950" t="inlineStr">
        <is>
          <t>Prio Tigris</t>
        </is>
      </c>
      <c r="D950" t="inlineStr">
        <is>
          <t>Peregrino</t>
        </is>
      </c>
      <c r="E950" t="inlineStr">
        <is>
          <t>Serviço de perfuração - diária de sonda</t>
        </is>
      </c>
      <c r="F950" t="inlineStr">
        <is>
          <t>Amostral</t>
        </is>
      </c>
      <c r="G950" s="8" t="n">
        <v>903502.49</v>
      </c>
      <c r="H950" s="8" t="n">
        <v>903502.49</v>
      </c>
      <c r="I950" s="8">
        <f>G950-H950</f>
        <v/>
      </c>
      <c r="J950" s="11">
        <f>IF(G950=0,0,MIN(1,I950/G950))</f>
        <v/>
      </c>
    </row>
    <row r="951">
      <c r="A951" t="inlineStr">
        <is>
          <t>IMB0213842</t>
        </is>
      </c>
      <c r="B951" t="inlineStr">
        <is>
          <t>Gastos com Desenvolvimento</t>
        </is>
      </c>
      <c r="C951" t="inlineStr">
        <is>
          <t>Prio Forte</t>
        </is>
      </c>
      <c r="D951" t="inlineStr">
        <is>
          <t>Wahoo</t>
        </is>
      </c>
      <c r="E951" t="inlineStr">
        <is>
          <t>Juros capitalizados (CPC 20)</t>
        </is>
      </c>
      <c r="F951" t="inlineStr">
        <is>
          <t>Amostral</t>
        </is>
      </c>
      <c r="G951" s="8" t="n">
        <v>1771706.28</v>
      </c>
      <c r="H951" s="8" t="n">
        <v>1771706.28</v>
      </c>
      <c r="I951" s="8">
        <f>G951-H951</f>
        <v/>
      </c>
      <c r="J951" s="11">
        <f>IF(G951=0,0,MIN(1,I951/G951))</f>
        <v/>
      </c>
    </row>
    <row r="952">
      <c r="A952" t="inlineStr">
        <is>
          <t>IMB0214589</t>
        </is>
      </c>
      <c r="B952" t="inlineStr">
        <is>
          <t>Gastos com Desenvolvimento</t>
        </is>
      </c>
      <c r="C952" t="inlineStr">
        <is>
          <t>Prio Forte</t>
        </is>
      </c>
      <c r="D952" t="inlineStr">
        <is>
          <t>Frade</t>
        </is>
      </c>
      <c r="E952" t="inlineStr">
        <is>
          <t>Serviço de completação</t>
        </is>
      </c>
      <c r="F952" t="inlineStr">
        <is>
          <t>Amostral</t>
        </is>
      </c>
      <c r="G952" s="8" t="n">
        <v>534671.95</v>
      </c>
      <c r="H952" s="8" t="n">
        <v>534671.95</v>
      </c>
      <c r="I952" s="8">
        <f>G952-H952</f>
        <v/>
      </c>
      <c r="J952" s="11">
        <f>IF(G952=0,0,MIN(1,I952/G952))</f>
        <v/>
      </c>
    </row>
    <row r="953">
      <c r="A953" t="inlineStr">
        <is>
          <t>IMB0215327</t>
        </is>
      </c>
      <c r="B953" t="inlineStr">
        <is>
          <t>Gastos com Desenvolvimento</t>
        </is>
      </c>
      <c r="C953" t="inlineStr">
        <is>
          <t>Prio Forte</t>
        </is>
      </c>
      <c r="D953" t="inlineStr">
        <is>
          <t>Frade</t>
        </is>
      </c>
      <c r="E953" t="inlineStr">
        <is>
          <t>Licenciamento ambiental e estudos</t>
        </is>
      </c>
      <c r="F953" t="inlineStr">
        <is>
          <t>Amostral</t>
        </is>
      </c>
      <c r="G953" s="8" t="n">
        <v>62915.94</v>
      </c>
      <c r="H953" s="8" t="n">
        <v>62915.94</v>
      </c>
      <c r="I953" s="8">
        <f>G953-H953</f>
        <v/>
      </c>
      <c r="J953" s="11">
        <f>IF(G953=0,0,MIN(1,I953/G953))</f>
        <v/>
      </c>
    </row>
    <row r="954">
      <c r="A954" t="inlineStr">
        <is>
          <t>IMB0216193</t>
        </is>
      </c>
      <c r="B954" t="inlineStr">
        <is>
          <t>Gastos com Desenvolvimento</t>
        </is>
      </c>
      <c r="C954" t="inlineStr">
        <is>
          <t>Prio Tigris</t>
        </is>
      </c>
      <c r="D954" t="inlineStr">
        <is>
          <t>Peregrino</t>
        </is>
      </c>
      <c r="E954" t="inlineStr">
        <is>
          <t>Serviço de completação</t>
        </is>
      </c>
      <c r="F954" t="inlineStr">
        <is>
          <t>Amostral</t>
        </is>
      </c>
      <c r="G954" s="8" t="n">
        <v>162395.02</v>
      </c>
      <c r="H954" s="8" t="n">
        <v>162395.02</v>
      </c>
      <c r="I954" s="8">
        <f>G954-H954</f>
        <v/>
      </c>
      <c r="J954" s="11">
        <f>IF(G954=0,0,MIN(1,I954/G954))</f>
        <v/>
      </c>
    </row>
    <row r="955">
      <c r="A955" t="inlineStr">
        <is>
          <t>IMB0216982</t>
        </is>
      </c>
      <c r="B955" t="inlineStr">
        <is>
          <t>Gastos com Desenvolvimento</t>
        </is>
      </c>
      <c r="C955" t="inlineStr">
        <is>
          <t>Prio Forte</t>
        </is>
      </c>
      <c r="D955" t="inlineStr">
        <is>
          <t>Albacora Leste</t>
        </is>
      </c>
      <c r="E955" t="inlineStr">
        <is>
          <t>Interligação submarina (tieback)</t>
        </is>
      </c>
      <c r="F955" t="inlineStr">
        <is>
          <t>Amostral</t>
        </is>
      </c>
      <c r="G955" s="8" t="n">
        <v>13427.03</v>
      </c>
      <c r="H955" s="8" t="n">
        <v>13427.03</v>
      </c>
      <c r="I955" s="8">
        <f>G955-H955</f>
        <v/>
      </c>
      <c r="J955" s="11">
        <f>IF(G955=0,0,MIN(1,I955/G955))</f>
        <v/>
      </c>
    </row>
    <row r="956">
      <c r="A956" t="inlineStr">
        <is>
          <t>IMB0217723</t>
        </is>
      </c>
      <c r="B956" t="inlineStr">
        <is>
          <t>Gastos com Desenvolvimento</t>
        </is>
      </c>
      <c r="C956" t="inlineStr">
        <is>
          <t>Prio Bravo</t>
        </is>
      </c>
      <c r="D956" t="inlineStr">
        <is>
          <t>Polvo &amp; TBMT</t>
        </is>
      </c>
      <c r="E956" t="inlineStr">
        <is>
          <t>Engenharia de projeto (FEED/detalhamento)</t>
        </is>
      </c>
      <c r="F956" t="inlineStr">
        <is>
          <t>Amostral</t>
        </is>
      </c>
      <c r="G956" s="8" t="n">
        <v>677691.3199999999</v>
      </c>
      <c r="H956" s="8" t="n">
        <v>677691.3199999999</v>
      </c>
      <c r="I956" s="8">
        <f>G956-H956</f>
        <v/>
      </c>
      <c r="J956" s="11">
        <f>IF(G956=0,0,MIN(1,I956/G956))</f>
        <v/>
      </c>
    </row>
    <row r="957">
      <c r="A957" t="inlineStr">
        <is>
          <t>IMB0218539</t>
        </is>
      </c>
      <c r="B957" t="inlineStr">
        <is>
          <t>Gastos com Desenvolvimento</t>
        </is>
      </c>
      <c r="C957" t="inlineStr">
        <is>
          <t>Prio Tigris</t>
        </is>
      </c>
      <c r="D957" t="inlineStr">
        <is>
          <t>Peregrino</t>
        </is>
      </c>
      <c r="E957" t="inlineStr">
        <is>
          <t>Juros capitalizados (CPC 20)</t>
        </is>
      </c>
      <c r="F957" t="inlineStr">
        <is>
          <t>Amostral</t>
        </is>
      </c>
      <c r="G957" s="8" t="n">
        <v>4541.36</v>
      </c>
      <c r="H957" s="8" t="n">
        <v>4541.36</v>
      </c>
      <c r="I957" s="8">
        <f>G957-H957</f>
        <v/>
      </c>
      <c r="J957" s="11">
        <f>IF(G957=0,0,MIN(1,I957/G957))</f>
        <v/>
      </c>
    </row>
    <row r="958">
      <c r="A958" t="inlineStr">
        <is>
          <t>IMB0219250</t>
        </is>
      </c>
      <c r="B958" t="inlineStr">
        <is>
          <t>Gastos com Desenvolvimento</t>
        </is>
      </c>
      <c r="C958" t="inlineStr">
        <is>
          <t>Prio Forte</t>
        </is>
      </c>
      <c r="D958" t="inlineStr">
        <is>
          <t>Frade</t>
        </is>
      </c>
      <c r="E958" t="inlineStr">
        <is>
          <t>Fluidos e cimentação</t>
        </is>
      </c>
      <c r="F958" t="inlineStr">
        <is>
          <t>Amostral</t>
        </is>
      </c>
      <c r="G958" s="8" t="n">
        <v>19279.29</v>
      </c>
      <c r="H958" s="8" t="n">
        <v>19279.29</v>
      </c>
      <c r="I958" s="8">
        <f>G958-H958</f>
        <v/>
      </c>
      <c r="J958" s="11">
        <f>IF(G958=0,0,MIN(1,I958/G958))</f>
        <v/>
      </c>
    </row>
    <row r="959">
      <c r="A959" t="inlineStr">
        <is>
          <t>IMB0220047</t>
        </is>
      </c>
      <c r="B959" t="inlineStr">
        <is>
          <t>Gastos com Desenvolvimento</t>
        </is>
      </c>
      <c r="C959" t="inlineStr">
        <is>
          <t>Prio Forte</t>
        </is>
      </c>
      <c r="D959" t="inlineStr">
        <is>
          <t>Wahoo</t>
        </is>
      </c>
      <c r="E959" t="inlineStr">
        <is>
          <t>Serviço de completação</t>
        </is>
      </c>
      <c r="F959" t="inlineStr">
        <is>
          <t>Amostral</t>
        </is>
      </c>
      <c r="G959" s="8" t="n">
        <v>108598.74</v>
      </c>
      <c r="H959" s="8" t="n">
        <v>108598.74</v>
      </c>
      <c r="I959" s="8">
        <f>G959-H959</f>
        <v/>
      </c>
      <c r="J959" s="11">
        <f>IF(G959=0,0,MIN(1,I959/G959))</f>
        <v/>
      </c>
    </row>
    <row r="960">
      <c r="A960" t="inlineStr">
        <is>
          <t>IMB0220785</t>
        </is>
      </c>
      <c r="B960" t="inlineStr">
        <is>
          <t>Gastos com Desenvolvimento</t>
        </is>
      </c>
      <c r="C960" t="inlineStr">
        <is>
          <t>Prio Forte</t>
        </is>
      </c>
      <c r="D960" t="inlineStr">
        <is>
          <t>Wahoo</t>
        </is>
      </c>
      <c r="E960" t="inlineStr">
        <is>
          <t>Licenciamento ambiental e estudos</t>
        </is>
      </c>
      <c r="F960" t="inlineStr">
        <is>
          <t>Amostral</t>
        </is>
      </c>
      <c r="G960" s="8" t="n">
        <v>59378.81</v>
      </c>
      <c r="H960" s="8" t="n">
        <v>59378.81</v>
      </c>
      <c r="I960" s="8">
        <f>G960-H960</f>
        <v/>
      </c>
      <c r="J960" s="11">
        <f>IF(G960=0,0,MIN(1,I960/G960))</f>
        <v/>
      </c>
    </row>
    <row r="961">
      <c r="A961" t="inlineStr">
        <is>
          <t>IMB0221508</t>
        </is>
      </c>
      <c r="B961" t="inlineStr">
        <is>
          <t>Gastos com Desenvolvimento</t>
        </is>
      </c>
      <c r="C961" t="inlineStr">
        <is>
          <t>Prio Tigris</t>
        </is>
      </c>
      <c r="D961" t="inlineStr">
        <is>
          <t>Peregrino</t>
        </is>
      </c>
      <c r="E961" t="inlineStr">
        <is>
          <t>Serviço de completação</t>
        </is>
      </c>
      <c r="F961" t="inlineStr">
        <is>
          <t>Amostral</t>
        </is>
      </c>
      <c r="G961" s="8" t="n">
        <v>11206.35</v>
      </c>
      <c r="H961" s="8" t="n">
        <v>11206.35</v>
      </c>
      <c r="I961" s="8">
        <f>G961-H961</f>
        <v/>
      </c>
      <c r="J961" s="11">
        <f>IF(G961=0,0,MIN(1,I961/G961))</f>
        <v/>
      </c>
    </row>
    <row r="962">
      <c r="A962" t="inlineStr">
        <is>
          <t>IMB0222304</t>
        </is>
      </c>
      <c r="B962" t="inlineStr">
        <is>
          <t>Gastos com Desenvolvimento</t>
        </is>
      </c>
      <c r="C962" t="inlineStr">
        <is>
          <t>Prio Forte</t>
        </is>
      </c>
      <c r="D962" t="inlineStr">
        <is>
          <t>Wahoo</t>
        </is>
      </c>
      <c r="E962" t="inlineStr">
        <is>
          <t>Serviço de completação</t>
        </is>
      </c>
      <c r="F962" t="inlineStr">
        <is>
          <t>Amostral</t>
        </is>
      </c>
      <c r="G962" s="8" t="n">
        <v>20907.9</v>
      </c>
      <c r="H962" s="8" t="n">
        <v>20907.9</v>
      </c>
      <c r="I962" s="8">
        <f>G962-H962</f>
        <v/>
      </c>
      <c r="J962" s="11">
        <f>IF(G962=0,0,MIN(1,I962/G962))</f>
        <v/>
      </c>
    </row>
    <row r="963">
      <c r="A963" t="inlineStr">
        <is>
          <t>IMB0223104</t>
        </is>
      </c>
      <c r="B963" t="inlineStr">
        <is>
          <t>Gastos com Desenvolvimento</t>
        </is>
      </c>
      <c r="C963" t="inlineStr">
        <is>
          <t>Prio Forte</t>
        </is>
      </c>
      <c r="D963" t="inlineStr">
        <is>
          <t>Frade</t>
        </is>
      </c>
      <c r="E963" t="inlineStr">
        <is>
          <t>Fluidos e cimentação</t>
        </is>
      </c>
      <c r="F963" t="inlineStr">
        <is>
          <t>Amostral</t>
        </is>
      </c>
      <c r="G963" s="8" t="n">
        <v>398284.41</v>
      </c>
      <c r="H963" s="8" t="n">
        <v>398284.41</v>
      </c>
      <c r="I963" s="8">
        <f>G963-H963</f>
        <v/>
      </c>
      <c r="J963" s="11">
        <f>IF(G963=0,0,MIN(1,I963/G963))</f>
        <v/>
      </c>
    </row>
    <row r="964">
      <c r="A964" t="inlineStr">
        <is>
          <t>IMB0223812</t>
        </is>
      </c>
      <c r="B964" t="inlineStr">
        <is>
          <t>Gastos com Desenvolvimento</t>
        </is>
      </c>
      <c r="C964" t="inlineStr">
        <is>
          <t>Prio Tigris</t>
        </is>
      </c>
      <c r="D964" t="inlineStr">
        <is>
          <t>Peregrino</t>
        </is>
      </c>
      <c r="E964" t="inlineStr">
        <is>
          <t>Embarcação de apoio - logística offshore</t>
        </is>
      </c>
      <c r="F964" t="inlineStr">
        <is>
          <t>Amostral</t>
        </is>
      </c>
      <c r="G964" s="8" t="n">
        <v>67296.11</v>
      </c>
      <c r="H964" s="8" t="n">
        <v>67296.11</v>
      </c>
      <c r="I964" s="8">
        <f>G964-H964</f>
        <v/>
      </c>
      <c r="J964" s="11">
        <f>IF(G964=0,0,MIN(1,I964/G964))</f>
        <v/>
      </c>
    </row>
    <row r="965">
      <c r="A965" t="inlineStr">
        <is>
          <t>IMB0224584</t>
        </is>
      </c>
      <c r="B965" t="inlineStr">
        <is>
          <t>Gastos com Desenvolvimento</t>
        </is>
      </c>
      <c r="C965" t="inlineStr">
        <is>
          <t>Prio Bravo</t>
        </is>
      </c>
      <c r="D965" t="inlineStr">
        <is>
          <t>Polvo &amp; TBMT</t>
        </is>
      </c>
      <c r="E965" t="inlineStr">
        <is>
          <t>Juros capitalizados (CPC 20)</t>
        </is>
      </c>
      <c r="F965" t="inlineStr">
        <is>
          <t>Amostral</t>
        </is>
      </c>
      <c r="G965" s="8" t="n">
        <v>7561.28</v>
      </c>
      <c r="H965" s="8" t="n">
        <v>7561.28</v>
      </c>
      <c r="I965" s="8">
        <f>G965-H965</f>
        <v/>
      </c>
      <c r="J965" s="11">
        <f>IF(G965=0,0,MIN(1,I965/G965))</f>
        <v/>
      </c>
    </row>
    <row r="966">
      <c r="A966" t="inlineStr">
        <is>
          <t>IMB0225438</t>
        </is>
      </c>
      <c r="B966" t="inlineStr">
        <is>
          <t>Gastos com Desenvolvimento</t>
        </is>
      </c>
      <c r="C966" t="inlineStr">
        <is>
          <t>Prio Forte</t>
        </is>
      </c>
      <c r="D966" t="inlineStr">
        <is>
          <t>Wahoo</t>
        </is>
      </c>
      <c r="E966" t="inlineStr">
        <is>
          <t>Engenharia de projeto (FEED/detalhamento)</t>
        </is>
      </c>
      <c r="F966" t="inlineStr">
        <is>
          <t>Amostral</t>
        </is>
      </c>
      <c r="G966" s="8" t="n">
        <v>63817.44</v>
      </c>
      <c r="H966" s="8" t="n">
        <v>63817.44</v>
      </c>
      <c r="I966" s="8">
        <f>G966-H966</f>
        <v/>
      </c>
      <c r="J966" s="11">
        <f>IF(G966=0,0,MIN(1,I966/G966))</f>
        <v/>
      </c>
    </row>
    <row r="967">
      <c r="A967" t="inlineStr">
        <is>
          <t>IMB0226238</t>
        </is>
      </c>
      <c r="B967" t="inlineStr">
        <is>
          <t>Gastos com Desenvolvimento</t>
        </is>
      </c>
      <c r="C967" t="inlineStr">
        <is>
          <t>Prio Tigris</t>
        </is>
      </c>
      <c r="D967" t="inlineStr">
        <is>
          <t>Peregrino</t>
        </is>
      </c>
      <c r="E967" t="inlineStr">
        <is>
          <t>Embarcação de apoio - logística offshore</t>
        </is>
      </c>
      <c r="F967" t="inlineStr">
        <is>
          <t>Amostral</t>
        </is>
      </c>
      <c r="G967" s="8" t="n">
        <v>138333.94</v>
      </c>
      <c r="H967" s="8" t="n">
        <v>138333.94</v>
      </c>
      <c r="I967" s="8">
        <f>G967-H967</f>
        <v/>
      </c>
      <c r="J967" s="11">
        <f>IF(G967=0,0,MIN(1,I967/G967))</f>
        <v/>
      </c>
    </row>
    <row r="968">
      <c r="A968" t="inlineStr">
        <is>
          <t>IMB0227001</t>
        </is>
      </c>
      <c r="B968" t="inlineStr">
        <is>
          <t>Gastos com Desenvolvimento</t>
        </is>
      </c>
      <c r="C968" t="inlineStr">
        <is>
          <t>Prio Bravo</t>
        </is>
      </c>
      <c r="D968" t="inlineStr">
        <is>
          <t>Polvo &amp; TBMT</t>
        </is>
      </c>
      <c r="E968" t="inlineStr">
        <is>
          <t>Licenciamento ambiental e estudos</t>
        </is>
      </c>
      <c r="F968" t="inlineStr">
        <is>
          <t>Amostral</t>
        </is>
      </c>
      <c r="G968" s="8" t="n">
        <v>850070.23</v>
      </c>
      <c r="H968" s="8" t="n">
        <v>850070.23</v>
      </c>
      <c r="I968" s="8">
        <f>G968-H968</f>
        <v/>
      </c>
      <c r="J968" s="11">
        <f>IF(G968=0,0,MIN(1,I968/G968))</f>
        <v/>
      </c>
    </row>
    <row r="969">
      <c r="A969" t="inlineStr">
        <is>
          <t>IMB0227784</t>
        </is>
      </c>
      <c r="B969" t="inlineStr">
        <is>
          <t>Gastos com Desenvolvimento</t>
        </is>
      </c>
      <c r="C969" t="inlineStr">
        <is>
          <t>Prio Tigris</t>
        </is>
      </c>
      <c r="D969" t="inlineStr">
        <is>
          <t>Peregrino</t>
        </is>
      </c>
      <c r="E969" t="inlineStr">
        <is>
          <t>Serviços de ROV e mergulho</t>
        </is>
      </c>
      <c r="F969" t="inlineStr">
        <is>
          <t>Amostral</t>
        </is>
      </c>
      <c r="G969" s="8" t="n">
        <v>260177.78</v>
      </c>
      <c r="H969" s="8" t="n">
        <v>260177.78</v>
      </c>
      <c r="I969" s="8">
        <f>G969-H969</f>
        <v/>
      </c>
      <c r="J969" s="11">
        <f>IF(G969=0,0,MIN(1,I969/G969))</f>
        <v/>
      </c>
    </row>
    <row r="970">
      <c r="A970" t="inlineStr">
        <is>
          <t>IMB0228545</t>
        </is>
      </c>
      <c r="B970" t="inlineStr">
        <is>
          <t>Gastos com Desenvolvimento</t>
        </is>
      </c>
      <c r="C970" t="inlineStr">
        <is>
          <t>Prio Bravo</t>
        </is>
      </c>
      <c r="D970" t="inlineStr">
        <is>
          <t>Polvo &amp; TBMT</t>
        </is>
      </c>
      <c r="E970" t="inlineStr">
        <is>
          <t>Serviços de ROV e mergulho</t>
        </is>
      </c>
      <c r="F970" t="inlineStr">
        <is>
          <t>Amostral</t>
        </is>
      </c>
      <c r="G970" s="8" t="n">
        <v>56352.26</v>
      </c>
      <c r="H970" s="8" t="n">
        <v>56352.26</v>
      </c>
      <c r="I970" s="8">
        <f>G970-H970</f>
        <v/>
      </c>
      <c r="J970" s="11">
        <f>IF(G970=0,0,MIN(1,I970/G970))</f>
        <v/>
      </c>
    </row>
    <row r="971">
      <c r="A971" t="inlineStr">
        <is>
          <t>IMB0229316</t>
        </is>
      </c>
      <c r="B971" t="inlineStr">
        <is>
          <t>Gastos com Desenvolvimento</t>
        </is>
      </c>
      <c r="C971" t="inlineStr">
        <is>
          <t>Prio Forte</t>
        </is>
      </c>
      <c r="D971" t="inlineStr">
        <is>
          <t>Frade</t>
        </is>
      </c>
      <c r="E971" t="inlineStr">
        <is>
          <t>Embarcação de apoio - logística offshore</t>
        </is>
      </c>
      <c r="F971" t="inlineStr">
        <is>
          <t>Amostral</t>
        </is>
      </c>
      <c r="G971" s="8" t="n">
        <v>95807.83</v>
      </c>
      <c r="H971" s="8" t="n">
        <v>95807.83</v>
      </c>
      <c r="I971" s="8">
        <f>G971-H971</f>
        <v/>
      </c>
      <c r="J971" s="11">
        <f>IF(G971=0,0,MIN(1,I971/G971))</f>
        <v/>
      </c>
    </row>
    <row r="972">
      <c r="A972" t="inlineStr">
        <is>
          <t>IMB0230096</t>
        </is>
      </c>
      <c r="B972" t="inlineStr">
        <is>
          <t>Gastos com Desenvolvimento</t>
        </is>
      </c>
      <c r="C972" t="inlineStr">
        <is>
          <t>Prio Tigris</t>
        </is>
      </c>
      <c r="D972" t="inlineStr">
        <is>
          <t>Peregrino</t>
        </is>
      </c>
      <c r="E972" t="inlineStr">
        <is>
          <t>Instalação de linhas (PLSV)</t>
        </is>
      </c>
      <c r="F972" t="inlineStr">
        <is>
          <t>Amostral</t>
        </is>
      </c>
      <c r="G972" s="8" t="n">
        <v>172085.34</v>
      </c>
      <c r="H972" s="8" t="n">
        <v>172085.34</v>
      </c>
      <c r="I972" s="8">
        <f>G972-H972</f>
        <v/>
      </c>
      <c r="J972" s="11">
        <f>IF(G972=0,0,MIN(1,I972/G972))</f>
        <v/>
      </c>
    </row>
    <row r="973">
      <c r="A973" t="inlineStr">
        <is>
          <t>IMB0230849</t>
        </is>
      </c>
      <c r="B973" t="inlineStr">
        <is>
          <t>Gastos com Desenvolvimento</t>
        </is>
      </c>
      <c r="C973" t="inlineStr">
        <is>
          <t>Prio Forte</t>
        </is>
      </c>
      <c r="D973" t="inlineStr">
        <is>
          <t>Wahoo</t>
        </is>
      </c>
      <c r="E973" t="inlineStr">
        <is>
          <t>Serviço de completação</t>
        </is>
      </c>
      <c r="F973" t="inlineStr">
        <is>
          <t>Amostral</t>
        </is>
      </c>
      <c r="G973" s="8" t="n">
        <v>77578.07000000001</v>
      </c>
      <c r="H973" s="8" t="n">
        <v>77578.07000000001</v>
      </c>
      <c r="I973" s="8">
        <f>G973-H973</f>
        <v/>
      </c>
      <c r="J973" s="11">
        <f>IF(G973=0,0,MIN(1,I973/G973))</f>
        <v/>
      </c>
    </row>
    <row r="974">
      <c r="A974" t="inlineStr">
        <is>
          <t>IMB0231624</t>
        </is>
      </c>
      <c r="B974" t="inlineStr">
        <is>
          <t>Gastos com Desenvolvimento</t>
        </is>
      </c>
      <c r="C974" t="inlineStr">
        <is>
          <t>Prio Tigris</t>
        </is>
      </c>
      <c r="D974" t="inlineStr">
        <is>
          <t>Peregrino</t>
        </is>
      </c>
      <c r="E974" t="inlineStr">
        <is>
          <t>Materiais aplicados em poço</t>
        </is>
      </c>
      <c r="F974" t="inlineStr">
        <is>
          <t>Amostral</t>
        </is>
      </c>
      <c r="G974" s="8" t="n">
        <v>113963.08</v>
      </c>
      <c r="H974" s="8" t="n">
        <v>113963.08</v>
      </c>
      <c r="I974" s="8">
        <f>G974-H974</f>
        <v/>
      </c>
      <c r="J974" s="11">
        <f>IF(G974=0,0,MIN(1,I974/G974))</f>
        <v/>
      </c>
    </row>
    <row r="975">
      <c r="A975" t="inlineStr">
        <is>
          <t>IMB0232372</t>
        </is>
      </c>
      <c r="B975" t="inlineStr">
        <is>
          <t>Gastos com Desenvolvimento</t>
        </is>
      </c>
      <c r="C975" t="inlineStr">
        <is>
          <t>Prio Forte</t>
        </is>
      </c>
      <c r="D975" t="inlineStr">
        <is>
          <t>Frade</t>
        </is>
      </c>
      <c r="E975" t="inlineStr">
        <is>
          <t>Embarcação de apoio - logística offshore</t>
        </is>
      </c>
      <c r="F975" t="inlineStr">
        <is>
          <t>Amostral</t>
        </is>
      </c>
      <c r="G975" s="8" t="n">
        <v>1729284.27</v>
      </c>
      <c r="H975" s="8" t="n">
        <v>1729284.27</v>
      </c>
      <c r="I975" s="8">
        <f>G975-H975</f>
        <v/>
      </c>
      <c r="J975" s="11">
        <f>IF(G975=0,0,MIN(1,I975/G975))</f>
        <v/>
      </c>
    </row>
    <row r="976">
      <c r="A976" t="inlineStr">
        <is>
          <t>IMB0233113</t>
        </is>
      </c>
      <c r="B976" t="inlineStr">
        <is>
          <t>Gastos com Desenvolvimento</t>
        </is>
      </c>
      <c r="C976" t="inlineStr">
        <is>
          <t>Prio Forte</t>
        </is>
      </c>
      <c r="D976" t="inlineStr">
        <is>
          <t>Frade</t>
        </is>
      </c>
      <c r="E976" t="inlineStr">
        <is>
          <t>Fluidos e cimentação</t>
        </is>
      </c>
      <c r="F976" t="inlineStr">
        <is>
          <t>Amostral</t>
        </is>
      </c>
      <c r="G976" s="8" t="n">
        <v>96291.94</v>
      </c>
      <c r="H976" s="8" t="n">
        <v>96291.94</v>
      </c>
      <c r="I976" s="8">
        <f>G976-H976</f>
        <v/>
      </c>
      <c r="J976" s="11">
        <f>IF(G976=0,0,MIN(1,I976/G976))</f>
        <v/>
      </c>
    </row>
    <row r="977">
      <c r="A977" t="inlineStr">
        <is>
          <t>IMB0233741</t>
        </is>
      </c>
      <c r="B977" t="inlineStr">
        <is>
          <t>Gastos com Desenvolvimento</t>
        </is>
      </c>
      <c r="C977" t="inlineStr">
        <is>
          <t>Prio Forte</t>
        </is>
      </c>
      <c r="D977" t="inlineStr">
        <is>
          <t>Frade</t>
        </is>
      </c>
      <c r="E977" t="inlineStr">
        <is>
          <t>Juros capitalizados (CPC 20)</t>
        </is>
      </c>
      <c r="F977" t="inlineStr">
        <is>
          <t>Amostral</t>
        </is>
      </c>
      <c r="G977" s="8" t="n">
        <v>138427.38</v>
      </c>
      <c r="H977" s="8" t="n">
        <v>138427.38</v>
      </c>
      <c r="I977" s="8">
        <f>G977-H977</f>
        <v/>
      </c>
      <c r="J977" s="11">
        <f>IF(G977=0,0,MIN(1,I977/G977))</f>
        <v/>
      </c>
    </row>
    <row r="978">
      <c r="A978" t="inlineStr">
        <is>
          <t>IMB0234511</t>
        </is>
      </c>
      <c r="B978" t="inlineStr">
        <is>
          <t>Gastos com Desenvolvimento</t>
        </is>
      </c>
      <c r="C978" t="inlineStr">
        <is>
          <t>Prio Forte</t>
        </is>
      </c>
      <c r="D978" t="inlineStr">
        <is>
          <t>Albacora Leste</t>
        </is>
      </c>
      <c r="E978" t="inlineStr">
        <is>
          <t>Serviço de perfuração - diária de sonda</t>
        </is>
      </c>
      <c r="F978" t="inlineStr">
        <is>
          <t>Amostral</t>
        </is>
      </c>
      <c r="G978" s="8" t="n">
        <v>51287.14</v>
      </c>
      <c r="H978" s="8" t="n">
        <v>51287.14</v>
      </c>
      <c r="I978" s="8">
        <f>G978-H978</f>
        <v/>
      </c>
      <c r="J978" s="11">
        <f>IF(G978=0,0,MIN(1,I978/G978))</f>
        <v/>
      </c>
    </row>
    <row r="979">
      <c r="A979" t="inlineStr">
        <is>
          <t>IMB0235291</t>
        </is>
      </c>
      <c r="B979" t="inlineStr">
        <is>
          <t>Gastos com Desenvolvimento</t>
        </is>
      </c>
      <c r="C979" t="inlineStr">
        <is>
          <t>Prio Forte</t>
        </is>
      </c>
      <c r="D979" t="inlineStr">
        <is>
          <t>Albacora Leste</t>
        </is>
      </c>
      <c r="E979" t="inlineStr">
        <is>
          <t>Embarcação de apoio - logística offshore</t>
        </is>
      </c>
      <c r="F979" t="inlineStr">
        <is>
          <t>Amostral</t>
        </is>
      </c>
      <c r="G979" s="8" t="n">
        <v>559708.67</v>
      </c>
      <c r="H979" s="8" t="n">
        <v>559708.67</v>
      </c>
      <c r="I979" s="8">
        <f>G979-H979</f>
        <v/>
      </c>
      <c r="J979" s="11">
        <f>IF(G979=0,0,MIN(1,I979/G979))</f>
        <v/>
      </c>
    </row>
    <row r="980">
      <c r="A980" t="inlineStr">
        <is>
          <t>IMB0236013</t>
        </is>
      </c>
      <c r="B980" t="inlineStr">
        <is>
          <t>Gastos com Desenvolvimento</t>
        </is>
      </c>
      <c r="C980" t="inlineStr">
        <is>
          <t>Prio Forte</t>
        </is>
      </c>
      <c r="D980" t="inlineStr">
        <is>
          <t>Albacora Leste</t>
        </is>
      </c>
      <c r="E980" t="inlineStr">
        <is>
          <t>Licenciamento ambiental e estudos</t>
        </is>
      </c>
      <c r="F980" t="inlineStr">
        <is>
          <t>Amostral</t>
        </is>
      </c>
      <c r="G980" s="8" t="n">
        <v>168528.5</v>
      </c>
      <c r="H980" s="8" t="n">
        <v>168528.5</v>
      </c>
      <c r="I980" s="8">
        <f>G980-H980</f>
        <v/>
      </c>
      <c r="J980" s="11">
        <f>IF(G980=0,0,MIN(1,I980/G980))</f>
        <v/>
      </c>
    </row>
    <row r="981">
      <c r="A981" t="inlineStr">
        <is>
          <t>IMB0236788</t>
        </is>
      </c>
      <c r="B981" t="inlineStr">
        <is>
          <t>Gastos com Desenvolvimento</t>
        </is>
      </c>
      <c r="C981" t="inlineStr">
        <is>
          <t>Prio Forte</t>
        </is>
      </c>
      <c r="D981" t="inlineStr">
        <is>
          <t>Frade</t>
        </is>
      </c>
      <c r="E981" t="inlineStr">
        <is>
          <t>Juros capitalizados (CPC 20)</t>
        </is>
      </c>
      <c r="F981" t="inlineStr">
        <is>
          <t>Amostral</t>
        </is>
      </c>
      <c r="G981" s="8" t="n">
        <v>25695.17</v>
      </c>
      <c r="H981" s="8" t="n">
        <v>25695.17</v>
      </c>
      <c r="I981" s="8">
        <f>G981-H981</f>
        <v/>
      </c>
      <c r="J981" s="11">
        <f>IF(G981=0,0,MIN(1,I981/G981))</f>
        <v/>
      </c>
    </row>
    <row r="982">
      <c r="A982" t="inlineStr">
        <is>
          <t>IMB0237581</t>
        </is>
      </c>
      <c r="B982" t="inlineStr">
        <is>
          <t>Gastos com Desenvolvimento</t>
        </is>
      </c>
      <c r="C982" t="inlineStr">
        <is>
          <t>Prio Forte</t>
        </is>
      </c>
      <c r="D982" t="inlineStr">
        <is>
          <t>Albacora Leste</t>
        </is>
      </c>
      <c r="E982" t="inlineStr">
        <is>
          <t>Serviço de completação</t>
        </is>
      </c>
      <c r="F982" t="inlineStr">
        <is>
          <t>Amostral</t>
        </is>
      </c>
      <c r="G982" s="8" t="n">
        <v>399347.37</v>
      </c>
      <c r="H982" s="8" t="n">
        <v>399347.37</v>
      </c>
      <c r="I982" s="8">
        <f>G982-H982</f>
        <v/>
      </c>
      <c r="J982" s="11">
        <f>IF(G982=0,0,MIN(1,I982/G982))</f>
        <v/>
      </c>
    </row>
    <row r="983">
      <c r="A983" t="inlineStr">
        <is>
          <t>IMB0238365</t>
        </is>
      </c>
      <c r="B983" t="inlineStr">
        <is>
          <t>Gastos com Desenvolvimento</t>
        </is>
      </c>
      <c r="C983" t="inlineStr">
        <is>
          <t>Prio Tigris</t>
        </is>
      </c>
      <c r="D983" t="inlineStr">
        <is>
          <t>Peregrino</t>
        </is>
      </c>
      <c r="E983" t="inlineStr">
        <is>
          <t>Licenciamento ambiental e estudos</t>
        </is>
      </c>
      <c r="F983" t="inlineStr">
        <is>
          <t>Amostral</t>
        </is>
      </c>
      <c r="G983" s="8" t="n">
        <v>192568.62</v>
      </c>
      <c r="H983" s="8" t="n">
        <v>192568.62</v>
      </c>
      <c r="I983" s="8">
        <f>G983-H983</f>
        <v/>
      </c>
      <c r="J983" s="11">
        <f>IF(G983=0,0,MIN(1,I983/G983))</f>
        <v/>
      </c>
    </row>
    <row r="984">
      <c r="A984" t="inlineStr">
        <is>
          <t>IMB0239173</t>
        </is>
      </c>
      <c r="B984" t="inlineStr">
        <is>
          <t>Gastos com Desenvolvimento</t>
        </is>
      </c>
      <c r="C984" t="inlineStr">
        <is>
          <t>Prio Forte</t>
        </is>
      </c>
      <c r="D984" t="inlineStr">
        <is>
          <t>Frade</t>
        </is>
      </c>
      <c r="E984" t="inlineStr">
        <is>
          <t>Serviço de perfuração - diária de sonda</t>
        </is>
      </c>
      <c r="F984" t="inlineStr">
        <is>
          <t>Amostral</t>
        </is>
      </c>
      <c r="G984" s="8" t="n">
        <v>46509.75</v>
      </c>
      <c r="H984" s="8" t="n">
        <v>46509.75</v>
      </c>
      <c r="I984" s="8">
        <f>G984-H984</f>
        <v/>
      </c>
      <c r="J984" s="11">
        <f>IF(G984=0,0,MIN(1,I984/G984))</f>
        <v/>
      </c>
    </row>
    <row r="985">
      <c r="A985" t="inlineStr">
        <is>
          <t>IMB0239911</t>
        </is>
      </c>
      <c r="B985" t="inlineStr">
        <is>
          <t>Gastos com Desenvolvimento</t>
        </is>
      </c>
      <c r="C985" t="inlineStr">
        <is>
          <t>Prio Forte</t>
        </is>
      </c>
      <c r="D985" t="inlineStr">
        <is>
          <t>Albacora Leste</t>
        </is>
      </c>
      <c r="E985" t="inlineStr">
        <is>
          <t>Fluidos e cimentação</t>
        </is>
      </c>
      <c r="F985" t="inlineStr">
        <is>
          <t>Amostral</t>
        </is>
      </c>
      <c r="G985" s="8" t="n">
        <v>18986.05</v>
      </c>
      <c r="H985" s="8" t="n">
        <v>18986.05</v>
      </c>
      <c r="I985" s="8">
        <f>G985-H985</f>
        <v/>
      </c>
      <c r="J985" s="11">
        <f>IF(G985=0,0,MIN(1,I985/G985))</f>
        <v/>
      </c>
    </row>
    <row r="986">
      <c r="A986" t="inlineStr">
        <is>
          <t>IMB0240648</t>
        </is>
      </c>
      <c r="B986" t="inlineStr">
        <is>
          <t>Gastos com Desenvolvimento</t>
        </is>
      </c>
      <c r="C986" t="inlineStr">
        <is>
          <t>Prio Forte</t>
        </is>
      </c>
      <c r="D986" t="inlineStr">
        <is>
          <t>Frade</t>
        </is>
      </c>
      <c r="E986" t="inlineStr">
        <is>
          <t>Embarcação de apoio - logística offshore</t>
        </is>
      </c>
      <c r="F986" t="inlineStr">
        <is>
          <t>Amostral</t>
        </is>
      </c>
      <c r="G986" s="8" t="n">
        <v>308376.29</v>
      </c>
      <c r="H986" s="8" t="n">
        <v>308376.29</v>
      </c>
      <c r="I986" s="8">
        <f>G986-H986</f>
        <v/>
      </c>
      <c r="J986" s="11">
        <f>IF(G986=0,0,MIN(1,I986/G986))</f>
        <v/>
      </c>
    </row>
    <row r="987">
      <c r="A987" t="inlineStr">
        <is>
          <t>IMB0241291</t>
        </is>
      </c>
      <c r="B987" t="inlineStr">
        <is>
          <t>Gastos com Desenvolvimento</t>
        </is>
      </c>
      <c r="C987" t="inlineStr">
        <is>
          <t>Prio Tigris</t>
        </is>
      </c>
      <c r="D987" t="inlineStr">
        <is>
          <t>Peregrino</t>
        </is>
      </c>
      <c r="E987" t="inlineStr">
        <is>
          <t>Engenharia de projeto (FEED/detalhamento)</t>
        </is>
      </c>
      <c r="F987" t="inlineStr">
        <is>
          <t>Amostral</t>
        </is>
      </c>
      <c r="G987" s="8" t="n">
        <v>26712.86</v>
      </c>
      <c r="H987" s="8" t="n">
        <v>26712.86</v>
      </c>
      <c r="I987" s="8">
        <f>G987-H987</f>
        <v/>
      </c>
      <c r="J987" s="11">
        <f>IF(G987=0,0,MIN(1,I987/G987))</f>
        <v/>
      </c>
    </row>
    <row r="988">
      <c r="A988" t="inlineStr">
        <is>
          <t>IMB0242042</t>
        </is>
      </c>
      <c r="B988" t="inlineStr">
        <is>
          <t>Gastos com Desenvolvimento</t>
        </is>
      </c>
      <c r="C988" t="inlineStr">
        <is>
          <t>Prio Tigris</t>
        </is>
      </c>
      <c r="D988" t="inlineStr">
        <is>
          <t>Peregrino</t>
        </is>
      </c>
      <c r="E988" t="inlineStr">
        <is>
          <t>Licenciamento ambiental e estudos</t>
        </is>
      </c>
      <c r="F988" t="inlineStr">
        <is>
          <t>Amostral</t>
        </is>
      </c>
      <c r="G988" s="8" t="n">
        <v>173001.25</v>
      </c>
      <c r="H988" s="8" t="n">
        <v>173001.25</v>
      </c>
      <c r="I988" s="8">
        <f>G988-H988</f>
        <v/>
      </c>
      <c r="J988" s="11">
        <f>IF(G988=0,0,MIN(1,I988/G988))</f>
        <v/>
      </c>
    </row>
    <row r="989">
      <c r="A989" t="inlineStr">
        <is>
          <t>IMB0242800</t>
        </is>
      </c>
      <c r="B989" t="inlineStr">
        <is>
          <t>Gastos com Desenvolvimento</t>
        </is>
      </c>
      <c r="C989" t="inlineStr">
        <is>
          <t>Prio Forte</t>
        </is>
      </c>
      <c r="D989" t="inlineStr">
        <is>
          <t>Wahoo</t>
        </is>
      </c>
      <c r="E989" t="inlineStr">
        <is>
          <t>Instalação de linhas (PLSV)</t>
        </is>
      </c>
      <c r="F989" t="inlineStr">
        <is>
          <t>Amostral</t>
        </is>
      </c>
      <c r="G989" s="8" t="n">
        <v>676183.26</v>
      </c>
      <c r="H989" s="8" t="n">
        <v>676183.26</v>
      </c>
      <c r="I989" s="8">
        <f>G989-H989</f>
        <v/>
      </c>
      <c r="J989" s="11">
        <f>IF(G989=0,0,MIN(1,I989/G989))</f>
        <v/>
      </c>
    </row>
    <row r="990">
      <c r="A990" t="inlineStr">
        <is>
          <t>IMB0243501</t>
        </is>
      </c>
      <c r="B990" t="inlineStr">
        <is>
          <t>Gastos com Desenvolvimento</t>
        </is>
      </c>
      <c r="C990" t="inlineStr">
        <is>
          <t>Prio Tigris</t>
        </is>
      </c>
      <c r="D990" t="inlineStr">
        <is>
          <t>Peregrino</t>
        </is>
      </c>
      <c r="E990" t="inlineStr">
        <is>
          <t>Licenciamento ambiental e estudos</t>
        </is>
      </c>
      <c r="F990" t="inlineStr">
        <is>
          <t>Amostral</t>
        </is>
      </c>
      <c r="G990" s="8" t="n">
        <v>37665.79</v>
      </c>
      <c r="H990" s="8" t="n">
        <v>37665.79</v>
      </c>
      <c r="I990" s="8">
        <f>G990-H990</f>
        <v/>
      </c>
      <c r="J990" s="11">
        <f>IF(G990=0,0,MIN(1,I990/G990))</f>
        <v/>
      </c>
    </row>
    <row r="991">
      <c r="A991" t="inlineStr">
        <is>
          <t>IMB0244230</t>
        </is>
      </c>
      <c r="B991" t="inlineStr">
        <is>
          <t>Gastos com Desenvolvimento</t>
        </is>
      </c>
      <c r="C991" t="inlineStr">
        <is>
          <t>Prio Bravo</t>
        </is>
      </c>
      <c r="D991" t="inlineStr">
        <is>
          <t>Polvo &amp; TBMT</t>
        </is>
      </c>
      <c r="E991" t="inlineStr">
        <is>
          <t>Licenciamento ambiental e estudos</t>
        </is>
      </c>
      <c r="F991" t="inlineStr">
        <is>
          <t>Amostral</t>
        </is>
      </c>
      <c r="G991" s="8" t="n">
        <v>123520.64</v>
      </c>
      <c r="H991" s="8" t="n">
        <v>123520.64</v>
      </c>
      <c r="I991" s="8">
        <f>G991-H991</f>
        <v/>
      </c>
      <c r="J991" s="11">
        <f>IF(G991=0,0,MIN(1,I991/G991))</f>
        <v/>
      </c>
    </row>
    <row r="992">
      <c r="A992" t="inlineStr">
        <is>
          <t>IMB0244911</t>
        </is>
      </c>
      <c r="B992" t="inlineStr">
        <is>
          <t>Gastos com Desenvolvimento</t>
        </is>
      </c>
      <c r="C992" t="inlineStr">
        <is>
          <t>Prio Tigris</t>
        </is>
      </c>
      <c r="D992" t="inlineStr">
        <is>
          <t>Peregrino</t>
        </is>
      </c>
      <c r="E992" t="inlineStr">
        <is>
          <t>Instalação de linhas (PLSV)</t>
        </is>
      </c>
      <c r="F992" t="inlineStr">
        <is>
          <t>Amostral</t>
        </is>
      </c>
      <c r="G992" s="8" t="n">
        <v>37924.29</v>
      </c>
      <c r="H992" s="8" t="n">
        <v>37924.29</v>
      </c>
      <c r="I992" s="8">
        <f>G992-H992</f>
        <v/>
      </c>
      <c r="J992" s="11">
        <f>IF(G992=0,0,MIN(1,I992/G992))</f>
        <v/>
      </c>
    </row>
    <row r="993">
      <c r="A993" t="inlineStr">
        <is>
          <t>IMB0245591</t>
        </is>
      </c>
      <c r="B993" t="inlineStr">
        <is>
          <t>Gastos com Desenvolvimento</t>
        </is>
      </c>
      <c r="C993" t="inlineStr">
        <is>
          <t>Prio Tigris</t>
        </is>
      </c>
      <c r="D993" t="inlineStr">
        <is>
          <t>Peregrino</t>
        </is>
      </c>
      <c r="E993" t="inlineStr">
        <is>
          <t>Interligação submarina (tieback)</t>
        </is>
      </c>
      <c r="F993" t="inlineStr">
        <is>
          <t>Amostral</t>
        </is>
      </c>
      <c r="G993" s="8" t="n">
        <v>32605.79</v>
      </c>
      <c r="H993" s="8" t="n">
        <v>32605.79</v>
      </c>
      <c r="I993" s="8">
        <f>G993-H993</f>
        <v/>
      </c>
      <c r="J993" s="11">
        <f>IF(G993=0,0,MIN(1,I993/G993))</f>
        <v/>
      </c>
    </row>
    <row r="994">
      <c r="A994" t="inlineStr">
        <is>
          <t>IMB0246398</t>
        </is>
      </c>
      <c r="B994" t="inlineStr">
        <is>
          <t>Gastos com Desenvolvimento</t>
        </is>
      </c>
      <c r="C994" t="inlineStr">
        <is>
          <t>Prio Bravo</t>
        </is>
      </c>
      <c r="D994" t="inlineStr">
        <is>
          <t>Polvo &amp; TBMT</t>
        </is>
      </c>
      <c r="E994" t="inlineStr">
        <is>
          <t>Interligação submarina (tieback)</t>
        </is>
      </c>
      <c r="F994" t="inlineStr">
        <is>
          <t>Amostral</t>
        </is>
      </c>
      <c r="G994" s="8" t="n">
        <v>112249.42</v>
      </c>
      <c r="H994" s="8" t="n">
        <v>112249.42</v>
      </c>
      <c r="I994" s="8">
        <f>G994-H994</f>
        <v/>
      </c>
      <c r="J994" s="11">
        <f>IF(G994=0,0,MIN(1,I994/G994))</f>
        <v/>
      </c>
    </row>
    <row r="995">
      <c r="A995" t="inlineStr">
        <is>
          <t>IMB0247251</t>
        </is>
      </c>
      <c r="B995" t="inlineStr">
        <is>
          <t>Gastos com Desenvolvimento</t>
        </is>
      </c>
      <c r="C995" t="inlineStr">
        <is>
          <t>Prio Tigris</t>
        </is>
      </c>
      <c r="D995" t="inlineStr">
        <is>
          <t>Peregrino</t>
        </is>
      </c>
      <c r="E995" t="inlineStr">
        <is>
          <t>Serviços de ROV e mergulho</t>
        </is>
      </c>
      <c r="F995" t="inlineStr">
        <is>
          <t>Amostral</t>
        </is>
      </c>
      <c r="G995" s="8" t="n">
        <v>71954.27</v>
      </c>
      <c r="H995" s="8" t="n">
        <v>71954.27</v>
      </c>
      <c r="I995" s="8">
        <f>G995-H995</f>
        <v/>
      </c>
      <c r="J995" s="11">
        <f>IF(G995=0,0,MIN(1,I995/G995))</f>
        <v/>
      </c>
    </row>
    <row r="996">
      <c r="A996" t="inlineStr">
        <is>
          <t>IMB0248037</t>
        </is>
      </c>
      <c r="B996" t="inlineStr">
        <is>
          <t>Gastos com Desenvolvimento</t>
        </is>
      </c>
      <c r="C996" t="inlineStr">
        <is>
          <t>Prio Forte</t>
        </is>
      </c>
      <c r="D996" t="inlineStr">
        <is>
          <t>Wahoo</t>
        </is>
      </c>
      <c r="E996" t="inlineStr">
        <is>
          <t>Serviço de completação</t>
        </is>
      </c>
      <c r="F996" t="inlineStr">
        <is>
          <t>Amostral</t>
        </is>
      </c>
      <c r="G996" s="8" t="n">
        <v>9890.469999999999</v>
      </c>
      <c r="H996" s="8" t="n">
        <v>9890.469999999999</v>
      </c>
      <c r="I996" s="8">
        <f>G996-H996</f>
        <v/>
      </c>
      <c r="J996" s="11">
        <f>IF(G996=0,0,MIN(1,I996/G996))</f>
        <v/>
      </c>
    </row>
    <row r="997">
      <c r="A997" t="inlineStr">
        <is>
          <t>IMB0248798</t>
        </is>
      </c>
      <c r="B997" t="inlineStr">
        <is>
          <t>Gastos com Desenvolvimento</t>
        </is>
      </c>
      <c r="C997" t="inlineStr">
        <is>
          <t>Prio Forte</t>
        </is>
      </c>
      <c r="D997" t="inlineStr">
        <is>
          <t>Wahoo</t>
        </is>
      </c>
      <c r="E997" t="inlineStr">
        <is>
          <t>Serviços de ROV e mergulho</t>
        </is>
      </c>
      <c r="F997" t="inlineStr">
        <is>
          <t>Amostral</t>
        </is>
      </c>
      <c r="G997" s="8" t="n">
        <v>71752.7</v>
      </c>
      <c r="H997" s="8" t="n">
        <v>71752.7</v>
      </c>
      <c r="I997" s="8">
        <f>G997-H997</f>
        <v/>
      </c>
      <c r="J997" s="11">
        <f>IF(G997=0,0,MIN(1,I997/G997))</f>
        <v/>
      </c>
    </row>
    <row r="998">
      <c r="A998" t="inlineStr">
        <is>
          <t>IMB0249547</t>
        </is>
      </c>
      <c r="B998" t="inlineStr">
        <is>
          <t>Gastos com Desenvolvimento</t>
        </is>
      </c>
      <c r="C998" t="inlineStr">
        <is>
          <t>Prio Bravo</t>
        </is>
      </c>
      <c r="D998" t="inlineStr">
        <is>
          <t>Polvo &amp; TBMT</t>
        </is>
      </c>
      <c r="E998" t="inlineStr">
        <is>
          <t>Interligação submarina (tieback)</t>
        </is>
      </c>
      <c r="F998" t="inlineStr">
        <is>
          <t>Amostral</t>
        </is>
      </c>
      <c r="G998" s="8" t="n">
        <v>14065.3</v>
      </c>
      <c r="H998" s="8" t="n">
        <v>14065.3</v>
      </c>
      <c r="I998" s="8">
        <f>G998-H998</f>
        <v/>
      </c>
      <c r="J998" s="11">
        <f>IF(G998=0,0,MIN(1,I998/G998))</f>
        <v/>
      </c>
    </row>
    <row r="999">
      <c r="A999" t="inlineStr">
        <is>
          <t>IMB0250351</t>
        </is>
      </c>
      <c r="B999" t="inlineStr">
        <is>
          <t>Gastos com Desenvolvimento</t>
        </is>
      </c>
      <c r="C999" t="inlineStr">
        <is>
          <t>Prio Forte</t>
        </is>
      </c>
      <c r="D999" t="inlineStr">
        <is>
          <t>Frade</t>
        </is>
      </c>
      <c r="E999" t="inlineStr">
        <is>
          <t>Interligação submarina (tieback)</t>
        </is>
      </c>
      <c r="F999" t="inlineStr">
        <is>
          <t>Amostral</t>
        </is>
      </c>
      <c r="G999" s="8" t="n">
        <v>123832.38</v>
      </c>
      <c r="H999" s="8" t="n">
        <v>123832.38</v>
      </c>
      <c r="I999" s="8">
        <f>G999-H999</f>
        <v/>
      </c>
      <c r="J999" s="11">
        <f>IF(G999=0,0,MIN(1,I999/G999))</f>
        <v/>
      </c>
    </row>
    <row r="1000">
      <c r="A1000" t="inlineStr">
        <is>
          <t>IMB0251131</t>
        </is>
      </c>
      <c r="B1000" t="inlineStr">
        <is>
          <t>Gastos com Desenvolvimento</t>
        </is>
      </c>
      <c r="C1000" t="inlineStr">
        <is>
          <t>Prio Tigris</t>
        </is>
      </c>
      <c r="D1000" t="inlineStr">
        <is>
          <t>Peregrino</t>
        </is>
      </c>
      <c r="E1000" t="inlineStr">
        <is>
          <t>Materiais aplicados em poço</t>
        </is>
      </c>
      <c r="F1000" t="inlineStr">
        <is>
          <t>Amostral</t>
        </is>
      </c>
      <c r="G1000" s="8" t="n">
        <v>1092240.81</v>
      </c>
      <c r="H1000" s="8" t="n">
        <v>1092240.81</v>
      </c>
      <c r="I1000" s="8">
        <f>G1000-H1000</f>
        <v/>
      </c>
      <c r="J1000" s="11">
        <f>IF(G1000=0,0,MIN(1,I1000/G1000))</f>
        <v/>
      </c>
    </row>
    <row r="1001">
      <c r="A1001" t="inlineStr">
        <is>
          <t>IMB0251817</t>
        </is>
      </c>
      <c r="B1001" t="inlineStr">
        <is>
          <t>Gastos com Desenvolvimento</t>
        </is>
      </c>
      <c r="C1001" t="inlineStr">
        <is>
          <t>Prio Forte</t>
        </is>
      </c>
      <c r="D1001" t="inlineStr">
        <is>
          <t>Wahoo</t>
        </is>
      </c>
      <c r="E1001" t="inlineStr">
        <is>
          <t>Engenharia de projeto (FEED/detalhamento)</t>
        </is>
      </c>
      <c r="F1001" t="inlineStr">
        <is>
          <t>Amostral</t>
        </is>
      </c>
      <c r="G1001" s="8" t="n">
        <v>27147.82</v>
      </c>
      <c r="H1001" s="8" t="n">
        <v>27147.82</v>
      </c>
      <c r="I1001" s="8">
        <f>G1001-H1001</f>
        <v/>
      </c>
      <c r="J1001" s="11">
        <f>IF(G1001=0,0,MIN(1,I1001/G1001))</f>
        <v/>
      </c>
    </row>
    <row r="1002">
      <c r="A1002" t="inlineStr">
        <is>
          <t>IMB0252527</t>
        </is>
      </c>
      <c r="B1002" t="inlineStr">
        <is>
          <t>Gastos com Desenvolvimento</t>
        </is>
      </c>
      <c r="C1002" t="inlineStr">
        <is>
          <t>Prio Forte</t>
        </is>
      </c>
      <c r="D1002" t="inlineStr">
        <is>
          <t>Frade</t>
        </is>
      </c>
      <c r="E1002" t="inlineStr">
        <is>
          <t>Serviço de perfuração - diária de sonda</t>
        </is>
      </c>
      <c r="F1002" t="inlineStr">
        <is>
          <t>Amostral</t>
        </is>
      </c>
      <c r="G1002" s="8" t="n">
        <v>163625.92</v>
      </c>
      <c r="H1002" s="8" t="n">
        <v>163625.92</v>
      </c>
      <c r="I1002" s="8">
        <f>G1002-H1002</f>
        <v/>
      </c>
      <c r="J1002" s="11">
        <f>IF(G1002=0,0,MIN(1,I1002/G1002))</f>
        <v/>
      </c>
    </row>
    <row r="1003">
      <c r="A1003" t="inlineStr">
        <is>
          <t>IMB0253373</t>
        </is>
      </c>
      <c r="B1003" t="inlineStr">
        <is>
          <t>Gastos com Desenvolvimento</t>
        </is>
      </c>
      <c r="C1003" t="inlineStr">
        <is>
          <t>Prio Forte</t>
        </is>
      </c>
      <c r="D1003" t="inlineStr">
        <is>
          <t>Albacora Leste</t>
        </is>
      </c>
      <c r="E1003" t="inlineStr">
        <is>
          <t>Engenharia de projeto (FEED/detalhamento)</t>
        </is>
      </c>
      <c r="F1003" t="inlineStr">
        <is>
          <t>Amostral</t>
        </is>
      </c>
      <c r="G1003" s="8" t="n">
        <v>273352.43</v>
      </c>
      <c r="H1003" s="8" t="n">
        <v>273352.43</v>
      </c>
      <c r="I1003" s="8">
        <f>G1003-H1003</f>
        <v/>
      </c>
      <c r="J1003" s="11">
        <f>IF(G1003=0,0,MIN(1,I1003/G1003))</f>
        <v/>
      </c>
    </row>
    <row r="1004">
      <c r="A1004" t="inlineStr">
        <is>
          <t>IMB0254101</t>
        </is>
      </c>
      <c r="B1004" t="inlineStr">
        <is>
          <t>Gastos com Desenvolvimento</t>
        </is>
      </c>
      <c r="C1004" t="inlineStr">
        <is>
          <t>Prio Forte</t>
        </is>
      </c>
      <c r="D1004" t="inlineStr">
        <is>
          <t>Wahoo</t>
        </is>
      </c>
      <c r="E1004" t="inlineStr">
        <is>
          <t>Engenharia de projeto (FEED/detalhamento)</t>
        </is>
      </c>
      <c r="F1004" t="inlineStr">
        <is>
          <t>Amostral</t>
        </is>
      </c>
      <c r="G1004" s="8" t="n">
        <v>1153088.25</v>
      </c>
      <c r="H1004" s="8" t="n">
        <v>1153088.25</v>
      </c>
      <c r="I1004" s="8">
        <f>G1004-H1004</f>
        <v/>
      </c>
      <c r="J1004" s="11">
        <f>IF(G1004=0,0,MIN(1,I1004/G1004))</f>
        <v/>
      </c>
    </row>
    <row r="1005">
      <c r="A1005" t="inlineStr">
        <is>
          <t>IMB0254853</t>
        </is>
      </c>
      <c r="B1005" t="inlineStr">
        <is>
          <t>Gastos com Desenvolvimento</t>
        </is>
      </c>
      <c r="C1005" t="inlineStr">
        <is>
          <t>Prio Tigris</t>
        </is>
      </c>
      <c r="D1005" t="inlineStr">
        <is>
          <t>Peregrino</t>
        </is>
      </c>
      <c r="E1005" t="inlineStr">
        <is>
          <t>Serviço de perfuração - diária de sonda</t>
        </is>
      </c>
      <c r="F1005" t="inlineStr">
        <is>
          <t>Amostral</t>
        </is>
      </c>
      <c r="G1005" s="8" t="n">
        <v>144838.94</v>
      </c>
      <c r="H1005" s="8" t="n">
        <v>144838.94</v>
      </c>
      <c r="I1005" s="8">
        <f>G1005-H1005</f>
        <v/>
      </c>
      <c r="J1005" s="11">
        <f>IF(G1005=0,0,MIN(1,I1005/G1005))</f>
        <v/>
      </c>
    </row>
    <row r="1006">
      <c r="A1006" t="inlineStr">
        <is>
          <t>IMB0255490</t>
        </is>
      </c>
      <c r="B1006" t="inlineStr">
        <is>
          <t>Gastos com Desenvolvimento</t>
        </is>
      </c>
      <c r="C1006" t="inlineStr">
        <is>
          <t>Prio Forte</t>
        </is>
      </c>
      <c r="D1006" t="inlineStr">
        <is>
          <t>Frade</t>
        </is>
      </c>
      <c r="E1006" t="inlineStr">
        <is>
          <t>Juros capitalizados (CPC 20)</t>
        </is>
      </c>
      <c r="F1006" t="inlineStr">
        <is>
          <t>Amostral</t>
        </is>
      </c>
      <c r="G1006" s="8" t="n">
        <v>139408.84</v>
      </c>
      <c r="H1006" s="8" t="n">
        <v>139408.84</v>
      </c>
      <c r="I1006" s="8">
        <f>G1006-H1006</f>
        <v/>
      </c>
      <c r="J1006" s="11">
        <f>IF(G1006=0,0,MIN(1,I1006/G1006))</f>
        <v/>
      </c>
    </row>
    <row r="1007">
      <c r="A1007" t="inlineStr">
        <is>
          <t>IMB0256212</t>
        </is>
      </c>
      <c r="B1007" t="inlineStr">
        <is>
          <t>Gastos com Desenvolvimento</t>
        </is>
      </c>
      <c r="C1007" t="inlineStr">
        <is>
          <t>Prio Forte</t>
        </is>
      </c>
      <c r="D1007" t="inlineStr">
        <is>
          <t>Wahoo</t>
        </is>
      </c>
      <c r="E1007" t="inlineStr">
        <is>
          <t>Embarcação de apoio - logística offshore</t>
        </is>
      </c>
      <c r="F1007" t="inlineStr">
        <is>
          <t>Amostral</t>
        </is>
      </c>
      <c r="G1007" s="8" t="n">
        <v>228796.01</v>
      </c>
      <c r="H1007" s="8" t="n">
        <v>228796.01</v>
      </c>
      <c r="I1007" s="8">
        <f>G1007-H1007</f>
        <v/>
      </c>
      <c r="J1007" s="11">
        <f>IF(G1007=0,0,MIN(1,I1007/G1007))</f>
        <v/>
      </c>
    </row>
    <row r="1008">
      <c r="A1008" t="inlineStr">
        <is>
          <t>IMB0257008</t>
        </is>
      </c>
      <c r="B1008" t="inlineStr">
        <is>
          <t>Gastos com Desenvolvimento</t>
        </is>
      </c>
      <c r="C1008" t="inlineStr">
        <is>
          <t>Prio Forte</t>
        </is>
      </c>
      <c r="D1008" t="inlineStr">
        <is>
          <t>Wahoo</t>
        </is>
      </c>
      <c r="E1008" t="inlineStr">
        <is>
          <t>Embarcação de apoio - logística offshore</t>
        </is>
      </c>
      <c r="F1008" t="inlineStr">
        <is>
          <t>Amostral</t>
        </is>
      </c>
      <c r="G1008" s="8" t="n">
        <v>140605.32</v>
      </c>
      <c r="H1008" s="8" t="n">
        <v>140605.32</v>
      </c>
      <c r="I1008" s="8">
        <f>G1008-H1008</f>
        <v/>
      </c>
      <c r="J1008" s="11">
        <f>IF(G1008=0,0,MIN(1,I1008/G1008))</f>
        <v/>
      </c>
    </row>
    <row r="1009">
      <c r="A1009" t="inlineStr">
        <is>
          <t>IMB0257818</t>
        </is>
      </c>
      <c r="B1009" t="inlineStr">
        <is>
          <t>Gastos com Desenvolvimento</t>
        </is>
      </c>
      <c r="C1009" t="inlineStr">
        <is>
          <t>Prio Bravo</t>
        </is>
      </c>
      <c r="D1009" t="inlineStr">
        <is>
          <t>Polvo &amp; TBMT</t>
        </is>
      </c>
      <c r="E1009" t="inlineStr">
        <is>
          <t>Interligação submarina (tieback)</t>
        </is>
      </c>
      <c r="F1009" t="inlineStr">
        <is>
          <t>Amostral</t>
        </is>
      </c>
      <c r="G1009" s="8" t="n">
        <v>147955.11</v>
      </c>
      <c r="H1009" s="8" t="n">
        <v>147955.11</v>
      </c>
      <c r="I1009" s="8">
        <f>G1009-H1009</f>
        <v/>
      </c>
      <c r="J1009" s="11">
        <f>IF(G1009=0,0,MIN(1,I1009/G1009))</f>
        <v/>
      </c>
    </row>
    <row r="1010">
      <c r="A1010" t="inlineStr">
        <is>
          <t>IMB0258547</t>
        </is>
      </c>
      <c r="B1010" t="inlineStr">
        <is>
          <t>Gastos com Desenvolvimento</t>
        </is>
      </c>
      <c r="C1010" t="inlineStr">
        <is>
          <t>Prio Forte</t>
        </is>
      </c>
      <c r="D1010" t="inlineStr">
        <is>
          <t>Frade</t>
        </is>
      </c>
      <c r="E1010" t="inlineStr">
        <is>
          <t>Materiais aplicados em poço</t>
        </is>
      </c>
      <c r="F1010" t="inlineStr">
        <is>
          <t>Amostral</t>
        </is>
      </c>
      <c r="G1010" s="8" t="n">
        <v>33725.82</v>
      </c>
      <c r="H1010" s="8" t="n">
        <v>33725.82</v>
      </c>
      <c r="I1010" s="8">
        <f>G1010-H1010</f>
        <v/>
      </c>
      <c r="J1010" s="11">
        <f>IF(G1010=0,0,MIN(1,I1010/G1010))</f>
        <v/>
      </c>
    </row>
    <row r="1011">
      <c r="A1011" t="inlineStr">
        <is>
          <t>IMB0259282</t>
        </is>
      </c>
      <c r="B1011" t="inlineStr">
        <is>
          <t>Gastos com Desenvolvimento</t>
        </is>
      </c>
      <c r="C1011" t="inlineStr">
        <is>
          <t>Prio Tigris</t>
        </is>
      </c>
      <c r="D1011" t="inlineStr">
        <is>
          <t>Peregrino</t>
        </is>
      </c>
      <c r="E1011" t="inlineStr">
        <is>
          <t>Serviço de perfuração - diária de sonda</t>
        </is>
      </c>
      <c r="F1011" t="inlineStr">
        <is>
          <t>Amostral</t>
        </is>
      </c>
      <c r="G1011" s="8" t="n">
        <v>14323.36</v>
      </c>
      <c r="H1011" s="8" t="n">
        <v>14323.36</v>
      </c>
      <c r="I1011" s="8">
        <f>G1011-H1011</f>
        <v/>
      </c>
      <c r="J1011" s="11">
        <f>IF(G1011=0,0,MIN(1,I1011/G1011))</f>
        <v/>
      </c>
    </row>
    <row r="1012">
      <c r="A1012" t="inlineStr">
        <is>
          <t>IMB0260015</t>
        </is>
      </c>
      <c r="B1012" t="inlineStr">
        <is>
          <t>Gastos com Desenvolvimento</t>
        </is>
      </c>
      <c r="C1012" t="inlineStr">
        <is>
          <t>Prio Bravo</t>
        </is>
      </c>
      <c r="D1012" t="inlineStr">
        <is>
          <t>Polvo &amp; TBMT</t>
        </is>
      </c>
      <c r="E1012" t="inlineStr">
        <is>
          <t>Materiais aplicados em poço</t>
        </is>
      </c>
      <c r="F1012" t="inlineStr">
        <is>
          <t>Amostral</t>
        </is>
      </c>
      <c r="G1012" s="8" t="n">
        <v>58732.1</v>
      </c>
      <c r="H1012" s="8" t="n">
        <v>58732.1</v>
      </c>
      <c r="I1012" s="8">
        <f>G1012-H1012</f>
        <v/>
      </c>
      <c r="J1012" s="11">
        <f>IF(G1012=0,0,MIN(1,I1012/G1012))</f>
        <v/>
      </c>
    </row>
    <row r="1013">
      <c r="A1013" t="inlineStr">
        <is>
          <t>IMB0260741</t>
        </is>
      </c>
      <c r="B1013" t="inlineStr">
        <is>
          <t>Gastos com Desenvolvimento</t>
        </is>
      </c>
      <c r="C1013" t="inlineStr">
        <is>
          <t>Prio Bravo</t>
        </is>
      </c>
      <c r="D1013" t="inlineStr">
        <is>
          <t>Polvo &amp; TBMT</t>
        </is>
      </c>
      <c r="E1013" t="inlineStr">
        <is>
          <t>Materiais aplicados em poço</t>
        </is>
      </c>
      <c r="F1013" t="inlineStr">
        <is>
          <t>Amostral</t>
        </is>
      </c>
      <c r="G1013" s="8" t="n">
        <v>332572.6</v>
      </c>
      <c r="H1013" s="8" t="n">
        <v>332572.6</v>
      </c>
      <c r="I1013" s="8">
        <f>G1013-H1013</f>
        <v/>
      </c>
      <c r="J1013" s="11">
        <f>IF(G1013=0,0,MIN(1,I1013/G1013))</f>
        <v/>
      </c>
    </row>
    <row r="1014">
      <c r="A1014" t="inlineStr">
        <is>
          <t>IMB0261545</t>
        </is>
      </c>
      <c r="B1014" t="inlineStr">
        <is>
          <t>Gastos com Desenvolvimento</t>
        </is>
      </c>
      <c r="C1014" t="inlineStr">
        <is>
          <t>Prio Forte</t>
        </is>
      </c>
      <c r="D1014" t="inlineStr">
        <is>
          <t>Wahoo</t>
        </is>
      </c>
      <c r="E1014" t="inlineStr">
        <is>
          <t>Serviço de completação</t>
        </is>
      </c>
      <c r="F1014" t="inlineStr">
        <is>
          <t>Amostral</t>
        </is>
      </c>
      <c r="G1014" s="8" t="n">
        <v>493057.47</v>
      </c>
      <c r="H1014" s="8" t="n">
        <v>493057.47</v>
      </c>
      <c r="I1014" s="8">
        <f>G1014-H1014</f>
        <v/>
      </c>
      <c r="J1014" s="11">
        <f>IF(G1014=0,0,MIN(1,I1014/G1014))</f>
        <v/>
      </c>
    </row>
    <row r="1015">
      <c r="A1015" t="inlineStr">
        <is>
          <t>IMB0262283</t>
        </is>
      </c>
      <c r="B1015" t="inlineStr">
        <is>
          <t>Gastos com Desenvolvimento</t>
        </is>
      </c>
      <c r="C1015" t="inlineStr">
        <is>
          <t>Prio Forte</t>
        </is>
      </c>
      <c r="D1015" t="inlineStr">
        <is>
          <t>Wahoo</t>
        </is>
      </c>
      <c r="E1015" t="inlineStr">
        <is>
          <t>Juros capitalizados (CPC 20)</t>
        </is>
      </c>
      <c r="F1015" t="inlineStr">
        <is>
          <t>Amostral</t>
        </is>
      </c>
      <c r="G1015" s="8" t="n">
        <v>70969.37</v>
      </c>
      <c r="H1015" s="8" t="n">
        <v>70969.37</v>
      </c>
      <c r="I1015" s="8">
        <f>G1015-H1015</f>
        <v/>
      </c>
      <c r="J1015" s="11">
        <f>IF(G1015=0,0,MIN(1,I1015/G1015))</f>
        <v/>
      </c>
    </row>
    <row r="1016">
      <c r="A1016" t="inlineStr">
        <is>
          <t>IMB0263116</t>
        </is>
      </c>
      <c r="B1016" t="inlineStr">
        <is>
          <t>Gastos com Desenvolvimento</t>
        </is>
      </c>
      <c r="C1016" t="inlineStr">
        <is>
          <t>Prio Forte</t>
        </is>
      </c>
      <c r="D1016" t="inlineStr">
        <is>
          <t>Wahoo</t>
        </is>
      </c>
      <c r="E1016" t="inlineStr">
        <is>
          <t>Licenciamento ambiental e estudos</t>
        </is>
      </c>
      <c r="F1016" t="inlineStr">
        <is>
          <t>Amostral</t>
        </is>
      </c>
      <c r="G1016" s="8" t="n">
        <v>25701.05</v>
      </c>
      <c r="H1016" s="8" t="n">
        <v>25701.05</v>
      </c>
      <c r="I1016" s="8">
        <f>G1016-H1016</f>
        <v/>
      </c>
      <c r="J1016" s="11">
        <f>IF(G1016=0,0,MIN(1,I1016/G1016))</f>
        <v/>
      </c>
    </row>
    <row r="1017">
      <c r="A1017" t="inlineStr">
        <is>
          <t>IMB0263817</t>
        </is>
      </c>
      <c r="B1017" t="inlineStr">
        <is>
          <t>Gastos com Desenvolvimento</t>
        </is>
      </c>
      <c r="C1017" t="inlineStr">
        <is>
          <t>Prio Forte</t>
        </is>
      </c>
      <c r="D1017" t="inlineStr">
        <is>
          <t>Frade</t>
        </is>
      </c>
      <c r="E1017" t="inlineStr">
        <is>
          <t>Licenciamento ambiental e estudos</t>
        </is>
      </c>
      <c r="F1017" t="inlineStr">
        <is>
          <t>Amostral</t>
        </is>
      </c>
      <c r="G1017" s="8" t="n">
        <v>145112.95</v>
      </c>
      <c r="H1017" s="8" t="n">
        <v>145112.95</v>
      </c>
      <c r="I1017" s="8">
        <f>G1017-H1017</f>
        <v/>
      </c>
      <c r="J1017" s="11">
        <f>IF(G1017=0,0,MIN(1,I1017/G1017))</f>
        <v/>
      </c>
    </row>
    <row r="1018">
      <c r="A1018" t="inlineStr">
        <is>
          <t>IMB0264569</t>
        </is>
      </c>
      <c r="B1018" t="inlineStr">
        <is>
          <t>Gastos com Desenvolvimento</t>
        </is>
      </c>
      <c r="C1018" t="inlineStr">
        <is>
          <t>Prio Forte</t>
        </is>
      </c>
      <c r="D1018" t="inlineStr">
        <is>
          <t>Wahoo</t>
        </is>
      </c>
      <c r="E1018" t="inlineStr">
        <is>
          <t>Engenharia de projeto (FEED/detalhamento)</t>
        </is>
      </c>
      <c r="F1018" t="inlineStr">
        <is>
          <t>Amostral</t>
        </is>
      </c>
      <c r="G1018" s="8" t="n">
        <v>360525.82</v>
      </c>
      <c r="H1018" s="8" t="n">
        <v>360525.82</v>
      </c>
      <c r="I1018" s="8">
        <f>G1018-H1018</f>
        <v/>
      </c>
      <c r="J1018" s="11">
        <f>IF(G1018=0,0,MIN(1,I1018/G1018))</f>
        <v/>
      </c>
    </row>
    <row r="1019">
      <c r="A1019" t="inlineStr">
        <is>
          <t>IMB0265309</t>
        </is>
      </c>
      <c r="B1019" t="inlineStr">
        <is>
          <t>Gastos com Desenvolvimento</t>
        </is>
      </c>
      <c r="C1019" t="inlineStr">
        <is>
          <t>Prio Forte</t>
        </is>
      </c>
      <c r="D1019" t="inlineStr">
        <is>
          <t>Wahoo</t>
        </is>
      </c>
      <c r="E1019" t="inlineStr">
        <is>
          <t>Fluidos e cimentação</t>
        </is>
      </c>
      <c r="F1019" t="inlineStr">
        <is>
          <t>Amostral</t>
        </is>
      </c>
      <c r="G1019" s="8" t="n">
        <v>34918.62</v>
      </c>
      <c r="H1019" s="8" t="n">
        <v>34918.62</v>
      </c>
      <c r="I1019" s="8">
        <f>G1019-H1019</f>
        <v/>
      </c>
      <c r="J1019" s="11">
        <f>IF(G1019=0,0,MIN(1,I1019/G1019))</f>
        <v/>
      </c>
    </row>
    <row r="1020">
      <c r="A1020" t="inlineStr">
        <is>
          <t>IMB0266094</t>
        </is>
      </c>
      <c r="B1020" t="inlineStr">
        <is>
          <t>Gastos com Desenvolvimento</t>
        </is>
      </c>
      <c r="C1020" t="inlineStr">
        <is>
          <t>Prio Tigris</t>
        </is>
      </c>
      <c r="D1020" t="inlineStr">
        <is>
          <t>Peregrino</t>
        </is>
      </c>
      <c r="E1020" t="inlineStr">
        <is>
          <t>Fornecimento de ANM</t>
        </is>
      </c>
      <c r="F1020" t="inlineStr">
        <is>
          <t>Amostral</t>
        </is>
      </c>
      <c r="G1020" s="8" t="n">
        <v>122931.77</v>
      </c>
      <c r="H1020" s="8" t="n">
        <v>122931.77</v>
      </c>
      <c r="I1020" s="8">
        <f>G1020-H1020</f>
        <v/>
      </c>
      <c r="J1020" s="11">
        <f>IF(G1020=0,0,MIN(1,I1020/G1020))</f>
        <v/>
      </c>
    </row>
    <row r="1021">
      <c r="A1021" t="inlineStr">
        <is>
          <t>IMB0266858</t>
        </is>
      </c>
      <c r="B1021" t="inlineStr">
        <is>
          <t>Gastos com Desenvolvimento</t>
        </is>
      </c>
      <c r="C1021" t="inlineStr">
        <is>
          <t>Prio Forte</t>
        </is>
      </c>
      <c r="D1021" t="inlineStr">
        <is>
          <t>Frade</t>
        </is>
      </c>
      <c r="E1021" t="inlineStr">
        <is>
          <t>Juros capitalizados (CPC 20)</t>
        </is>
      </c>
      <c r="F1021" t="inlineStr">
        <is>
          <t>Amostral</t>
        </is>
      </c>
      <c r="G1021" s="8" t="n">
        <v>41813.53</v>
      </c>
      <c r="H1021" s="8" t="n">
        <v>41813.53</v>
      </c>
      <c r="I1021" s="8">
        <f>G1021-H1021</f>
        <v/>
      </c>
      <c r="J1021" s="11">
        <f>IF(G1021=0,0,MIN(1,I1021/G1021))</f>
        <v/>
      </c>
    </row>
    <row r="1022">
      <c r="A1022" t="inlineStr">
        <is>
          <t>IMB0267606</t>
        </is>
      </c>
      <c r="B1022" t="inlineStr">
        <is>
          <t>Gastos com Desenvolvimento</t>
        </is>
      </c>
      <c r="C1022" t="inlineStr">
        <is>
          <t>Prio Forte</t>
        </is>
      </c>
      <c r="D1022" t="inlineStr">
        <is>
          <t>Frade</t>
        </is>
      </c>
      <c r="E1022" t="inlineStr">
        <is>
          <t>Fornecimento de ANM</t>
        </is>
      </c>
      <c r="F1022" t="inlineStr">
        <is>
          <t>Amostral</t>
        </is>
      </c>
      <c r="G1022" s="8" t="n">
        <v>142010.07</v>
      </c>
      <c r="H1022" s="8" t="n">
        <v>142010.07</v>
      </c>
      <c r="I1022" s="8">
        <f>G1022-H1022</f>
        <v/>
      </c>
      <c r="J1022" s="11">
        <f>IF(G1022=0,0,MIN(1,I1022/G1022))</f>
        <v/>
      </c>
    </row>
    <row r="1023">
      <c r="A1023" t="inlineStr">
        <is>
          <t>IMB0268356</t>
        </is>
      </c>
      <c r="B1023" t="inlineStr">
        <is>
          <t>Gastos com Desenvolvimento</t>
        </is>
      </c>
      <c r="C1023" t="inlineStr">
        <is>
          <t>Prio Forte</t>
        </is>
      </c>
      <c r="D1023" t="inlineStr">
        <is>
          <t>Albacora Leste</t>
        </is>
      </c>
      <c r="E1023" t="inlineStr">
        <is>
          <t>Engenharia de projeto (FEED/detalhamento)</t>
        </is>
      </c>
      <c r="F1023" t="inlineStr">
        <is>
          <t>Amostral</t>
        </is>
      </c>
      <c r="G1023" s="8" t="n">
        <v>48111.43</v>
      </c>
      <c r="H1023" s="8" t="n">
        <v>48111.43</v>
      </c>
      <c r="I1023" s="8">
        <f>G1023-H1023</f>
        <v/>
      </c>
      <c r="J1023" s="11">
        <f>IF(G1023=0,0,MIN(1,I1023/G1023))</f>
        <v/>
      </c>
    </row>
    <row r="1024">
      <c r="A1024" t="inlineStr">
        <is>
          <t>IMB0269037</t>
        </is>
      </c>
      <c r="B1024" t="inlineStr">
        <is>
          <t>Gastos com Desenvolvimento</t>
        </is>
      </c>
      <c r="C1024" t="inlineStr">
        <is>
          <t>Prio Forte</t>
        </is>
      </c>
      <c r="D1024" t="inlineStr">
        <is>
          <t>Wahoo</t>
        </is>
      </c>
      <c r="E1024" t="inlineStr">
        <is>
          <t>Serviço de perfuração - diária de sonda</t>
        </is>
      </c>
      <c r="F1024" t="inlineStr">
        <is>
          <t>Amostral</t>
        </is>
      </c>
      <c r="G1024" s="8" t="n">
        <v>367573.81</v>
      </c>
      <c r="H1024" s="8" t="n">
        <v>367573.81</v>
      </c>
      <c r="I1024" s="8">
        <f>G1024-H1024</f>
        <v/>
      </c>
      <c r="J1024" s="11">
        <f>IF(G1024=0,0,MIN(1,I1024/G1024))</f>
        <v/>
      </c>
    </row>
    <row r="1025">
      <c r="A1025" t="inlineStr">
        <is>
          <t>IMB0269772</t>
        </is>
      </c>
      <c r="B1025" t="inlineStr">
        <is>
          <t>Gastos com Desenvolvimento</t>
        </is>
      </c>
      <c r="C1025" t="inlineStr">
        <is>
          <t>Prio Tigris</t>
        </is>
      </c>
      <c r="D1025" t="inlineStr">
        <is>
          <t>Peregrino</t>
        </is>
      </c>
      <c r="E1025" t="inlineStr">
        <is>
          <t>Juros capitalizados (CPC 20)</t>
        </is>
      </c>
      <c r="F1025" t="inlineStr">
        <is>
          <t>Amostral</t>
        </is>
      </c>
      <c r="G1025" s="8" t="n">
        <v>537355.6</v>
      </c>
      <c r="H1025" s="8" t="n">
        <v>537355.6</v>
      </c>
      <c r="I1025" s="8">
        <f>G1025-H1025</f>
        <v/>
      </c>
      <c r="J1025" s="11">
        <f>IF(G1025=0,0,MIN(1,I1025/G1025))</f>
        <v/>
      </c>
    </row>
    <row r="1026">
      <c r="A1026" t="inlineStr">
        <is>
          <t>IMB0270450</t>
        </is>
      </c>
      <c r="B1026" t="inlineStr">
        <is>
          <t>Gastos com Desenvolvimento</t>
        </is>
      </c>
      <c r="C1026" t="inlineStr">
        <is>
          <t>Prio Tigris</t>
        </is>
      </c>
      <c r="D1026" t="inlineStr">
        <is>
          <t>Peregrino</t>
        </is>
      </c>
      <c r="E1026" t="inlineStr">
        <is>
          <t>Serviço de completação</t>
        </is>
      </c>
      <c r="F1026" t="inlineStr">
        <is>
          <t>Amostral</t>
        </is>
      </c>
      <c r="G1026" s="8" t="n">
        <v>185389.22</v>
      </c>
      <c r="H1026" s="8" t="n">
        <v>185389.22</v>
      </c>
      <c r="I1026" s="8">
        <f>G1026-H1026</f>
        <v/>
      </c>
      <c r="J1026" s="11">
        <f>IF(G1026=0,0,MIN(1,I1026/G1026))</f>
        <v/>
      </c>
    </row>
    <row r="1027">
      <c r="A1027" t="inlineStr">
        <is>
          <t>IMB0271225</t>
        </is>
      </c>
      <c r="B1027" t="inlineStr">
        <is>
          <t>Gastos com Desenvolvimento</t>
        </is>
      </c>
      <c r="C1027" t="inlineStr">
        <is>
          <t>Prio Bravo</t>
        </is>
      </c>
      <c r="D1027" t="inlineStr">
        <is>
          <t>Polvo &amp; TBMT</t>
        </is>
      </c>
      <c r="E1027" t="inlineStr">
        <is>
          <t>Serviços de ROV e mergulho</t>
        </is>
      </c>
      <c r="F1027" t="inlineStr">
        <is>
          <t>Amostral</t>
        </is>
      </c>
      <c r="G1027" s="8" t="n">
        <v>537246.8199999999</v>
      </c>
      <c r="H1027" s="8" t="n">
        <v>537246.8199999999</v>
      </c>
      <c r="I1027" s="8">
        <f>G1027-H1027</f>
        <v/>
      </c>
      <c r="J1027" s="11">
        <f>IF(G1027=0,0,MIN(1,I1027/G1027))</f>
        <v/>
      </c>
    </row>
    <row r="1028">
      <c r="A1028" t="inlineStr">
        <is>
          <t>IMB0271963</t>
        </is>
      </c>
      <c r="B1028" t="inlineStr">
        <is>
          <t>Gastos com Desenvolvimento</t>
        </is>
      </c>
      <c r="C1028" t="inlineStr">
        <is>
          <t>Prio Forte</t>
        </is>
      </c>
      <c r="D1028" t="inlineStr">
        <is>
          <t>Albacora Leste</t>
        </is>
      </c>
      <c r="E1028" t="inlineStr">
        <is>
          <t>Embarcação de apoio - logística offshore</t>
        </is>
      </c>
      <c r="F1028" t="inlineStr">
        <is>
          <t>Amostral</t>
        </is>
      </c>
      <c r="G1028" s="8" t="n">
        <v>2345279.88</v>
      </c>
      <c r="H1028" s="8" t="n">
        <v>2345279.88</v>
      </c>
      <c r="I1028" s="8">
        <f>G1028-H1028</f>
        <v/>
      </c>
      <c r="J1028" s="11">
        <f>IF(G1028=0,0,MIN(1,I1028/G1028))</f>
        <v/>
      </c>
    </row>
    <row r="1029">
      <c r="A1029" t="inlineStr">
        <is>
          <t>IMB0272769</t>
        </is>
      </c>
      <c r="B1029" t="inlineStr">
        <is>
          <t>Gastos com Desenvolvimento</t>
        </is>
      </c>
      <c r="C1029" t="inlineStr">
        <is>
          <t>Prio Forte</t>
        </is>
      </c>
      <c r="D1029" t="inlineStr">
        <is>
          <t>Frade</t>
        </is>
      </c>
      <c r="E1029" t="inlineStr">
        <is>
          <t>Serviço de perfuração - diária de sonda</t>
        </is>
      </c>
      <c r="F1029" t="inlineStr">
        <is>
          <t>Amostral</t>
        </is>
      </c>
      <c r="G1029" s="8" t="n">
        <v>39784.97</v>
      </c>
      <c r="H1029" s="8" t="n">
        <v>39784.97</v>
      </c>
      <c r="I1029" s="8">
        <f>G1029-H1029</f>
        <v/>
      </c>
      <c r="J1029" s="11">
        <f>IF(G1029=0,0,MIN(1,I1029/G1029))</f>
        <v/>
      </c>
    </row>
    <row r="1030">
      <c r="A1030" t="inlineStr">
        <is>
          <t>IMB0273462</t>
        </is>
      </c>
      <c r="B1030" t="inlineStr">
        <is>
          <t>Gastos com Desenvolvimento</t>
        </is>
      </c>
      <c r="C1030" t="inlineStr">
        <is>
          <t>Prio Forte</t>
        </is>
      </c>
      <c r="D1030" t="inlineStr">
        <is>
          <t>Wahoo</t>
        </is>
      </c>
      <c r="E1030" t="inlineStr">
        <is>
          <t>Materiais aplicados em poço</t>
        </is>
      </c>
      <c r="F1030" t="inlineStr">
        <is>
          <t>Amostral</t>
        </is>
      </c>
      <c r="G1030" s="8" t="n">
        <v>1280019.08</v>
      </c>
      <c r="H1030" s="8" t="n">
        <v>1280019.08</v>
      </c>
      <c r="I1030" s="8">
        <f>G1030-H1030</f>
        <v/>
      </c>
      <c r="J1030" s="11">
        <f>IF(G1030=0,0,MIN(1,I1030/G1030))</f>
        <v/>
      </c>
    </row>
    <row r="1031">
      <c r="A1031" t="inlineStr">
        <is>
          <t>IMB0274113</t>
        </is>
      </c>
      <c r="B1031" t="inlineStr">
        <is>
          <t>Gastos com Desenvolvimento</t>
        </is>
      </c>
      <c r="C1031" t="inlineStr">
        <is>
          <t>Prio Forte</t>
        </is>
      </c>
      <c r="D1031" t="inlineStr">
        <is>
          <t>Wahoo</t>
        </is>
      </c>
      <c r="E1031" t="inlineStr">
        <is>
          <t>Serviço de completação</t>
        </is>
      </c>
      <c r="F1031" t="inlineStr">
        <is>
          <t>Amostral</t>
        </is>
      </c>
      <c r="G1031" s="8" t="n">
        <v>32373.83</v>
      </c>
      <c r="H1031" s="8" t="n">
        <v>32373.83</v>
      </c>
      <c r="I1031" s="8">
        <f>G1031-H1031</f>
        <v/>
      </c>
      <c r="J1031" s="11">
        <f>IF(G1031=0,0,MIN(1,I1031/G1031))</f>
        <v/>
      </c>
    </row>
    <row r="1032">
      <c r="A1032" t="inlineStr">
        <is>
          <t>IMB0274887</t>
        </is>
      </c>
      <c r="B1032" t="inlineStr">
        <is>
          <t>Gastos com Desenvolvimento</t>
        </is>
      </c>
      <c r="C1032" t="inlineStr">
        <is>
          <t>Prio Tigris</t>
        </is>
      </c>
      <c r="D1032" t="inlineStr">
        <is>
          <t>Peregrino</t>
        </is>
      </c>
      <c r="E1032" t="inlineStr">
        <is>
          <t>Serviços de ROV e mergulho</t>
        </is>
      </c>
      <c r="F1032" t="inlineStr">
        <is>
          <t>Amostral</t>
        </is>
      </c>
      <c r="G1032" s="8" t="n">
        <v>420709.08</v>
      </c>
      <c r="H1032" s="8" t="n">
        <v>420709.08</v>
      </c>
      <c r="I1032" s="8">
        <f>G1032-H1032</f>
        <v/>
      </c>
      <c r="J1032" s="11">
        <f>IF(G1032=0,0,MIN(1,I1032/G1032))</f>
        <v/>
      </c>
    </row>
    <row r="1033">
      <c r="A1033" t="inlineStr">
        <is>
          <t>IMB0275771</t>
        </is>
      </c>
      <c r="B1033" t="inlineStr">
        <is>
          <t>Gastos com Desenvolvimento</t>
        </is>
      </c>
      <c r="C1033" t="inlineStr">
        <is>
          <t>Prio Bravo</t>
        </is>
      </c>
      <c r="D1033" t="inlineStr">
        <is>
          <t>Polvo &amp; TBMT</t>
        </is>
      </c>
      <c r="E1033" t="inlineStr">
        <is>
          <t>Instalação de linhas (PLSV)</t>
        </is>
      </c>
      <c r="F1033" t="inlineStr">
        <is>
          <t>Amostral</t>
        </is>
      </c>
      <c r="G1033" s="8" t="n">
        <v>59986.73</v>
      </c>
      <c r="H1033" s="8" t="n">
        <v>59986.73</v>
      </c>
      <c r="I1033" s="8">
        <f>G1033-H1033</f>
        <v/>
      </c>
      <c r="J1033" s="11">
        <f>IF(G1033=0,0,MIN(1,I1033/G1033))</f>
        <v/>
      </c>
    </row>
    <row r="1034">
      <c r="A1034" t="inlineStr">
        <is>
          <t>IMB0276585</t>
        </is>
      </c>
      <c r="B1034" t="inlineStr">
        <is>
          <t>Gastos com Desenvolvimento</t>
        </is>
      </c>
      <c r="C1034" t="inlineStr">
        <is>
          <t>Prio Forte</t>
        </is>
      </c>
      <c r="D1034" t="inlineStr">
        <is>
          <t>Wahoo</t>
        </is>
      </c>
      <c r="E1034" t="inlineStr">
        <is>
          <t>Materiais aplicados em poço</t>
        </is>
      </c>
      <c r="F1034" t="inlineStr">
        <is>
          <t>Amostral</t>
        </is>
      </c>
      <c r="G1034" s="8" t="n">
        <v>354224.57</v>
      </c>
      <c r="H1034" s="8" t="n">
        <v>354224.57</v>
      </c>
      <c r="I1034" s="8">
        <f>G1034-H1034</f>
        <v/>
      </c>
      <c r="J1034" s="11">
        <f>IF(G1034=0,0,MIN(1,I1034/G1034))</f>
        <v/>
      </c>
    </row>
    <row r="1035">
      <c r="A1035" t="inlineStr">
        <is>
          <t>IMB0277383</t>
        </is>
      </c>
      <c r="B1035" t="inlineStr">
        <is>
          <t>Gastos com Desenvolvimento</t>
        </is>
      </c>
      <c r="C1035" t="inlineStr">
        <is>
          <t>Prio Forte</t>
        </is>
      </c>
      <c r="D1035" t="inlineStr">
        <is>
          <t>Wahoo</t>
        </is>
      </c>
      <c r="E1035" t="inlineStr">
        <is>
          <t>Interligação submarina (tieback)</t>
        </is>
      </c>
      <c r="F1035" t="inlineStr">
        <is>
          <t>Amostral</t>
        </is>
      </c>
      <c r="G1035" s="8" t="n">
        <v>25397.32</v>
      </c>
      <c r="H1035" s="8" t="n">
        <v>25397.32</v>
      </c>
      <c r="I1035" s="8">
        <f>G1035-H1035</f>
        <v/>
      </c>
      <c r="J1035" s="11">
        <f>IF(G1035=0,0,MIN(1,I1035/G1035))</f>
        <v/>
      </c>
    </row>
    <row r="1036">
      <c r="A1036" t="inlineStr">
        <is>
          <t>IMB0278204</t>
        </is>
      </c>
      <c r="B1036" t="inlineStr">
        <is>
          <t>Gastos com Desenvolvimento</t>
        </is>
      </c>
      <c r="C1036" t="inlineStr">
        <is>
          <t>Prio Forte</t>
        </is>
      </c>
      <c r="D1036" t="inlineStr">
        <is>
          <t>Frade</t>
        </is>
      </c>
      <c r="E1036" t="inlineStr">
        <is>
          <t>Juros capitalizados (CPC 20)</t>
        </is>
      </c>
      <c r="F1036" t="inlineStr">
        <is>
          <t>Amostral</t>
        </is>
      </c>
      <c r="G1036" s="8" t="n">
        <v>72532.94</v>
      </c>
      <c r="H1036" s="8" t="n">
        <v>72532.94</v>
      </c>
      <c r="I1036" s="8">
        <f>G1036-H1036</f>
        <v/>
      </c>
      <c r="J1036" s="11">
        <f>IF(G1036=0,0,MIN(1,I1036/G1036))</f>
        <v/>
      </c>
    </row>
    <row r="1037">
      <c r="A1037" t="inlineStr">
        <is>
          <t>IMB0278959</t>
        </is>
      </c>
      <c r="B1037" t="inlineStr">
        <is>
          <t>Gastos com Desenvolvimento</t>
        </is>
      </c>
      <c r="C1037" t="inlineStr">
        <is>
          <t>Prio Tigris</t>
        </is>
      </c>
      <c r="D1037" t="inlineStr">
        <is>
          <t>Peregrino</t>
        </is>
      </c>
      <c r="E1037" t="inlineStr">
        <is>
          <t>Juros capitalizados (CPC 20)</t>
        </is>
      </c>
      <c r="F1037" t="inlineStr">
        <is>
          <t>Amostral</t>
        </is>
      </c>
      <c r="G1037" s="8" t="n">
        <v>34516.83</v>
      </c>
      <c r="H1037" s="8" t="n">
        <v>34516.83</v>
      </c>
      <c r="I1037" s="8">
        <f>G1037-H1037</f>
        <v/>
      </c>
      <c r="J1037" s="11">
        <f>IF(G1037=0,0,MIN(1,I1037/G1037))</f>
        <v/>
      </c>
    </row>
    <row r="1038">
      <c r="A1038" t="inlineStr">
        <is>
          <t>IMB0279751</t>
        </is>
      </c>
      <c r="B1038" t="inlineStr">
        <is>
          <t>Gastos com Desenvolvimento</t>
        </is>
      </c>
      <c r="C1038" t="inlineStr">
        <is>
          <t>Prio Tigris</t>
        </is>
      </c>
      <c r="D1038" t="inlineStr">
        <is>
          <t>Peregrino</t>
        </is>
      </c>
      <c r="E1038" t="inlineStr">
        <is>
          <t>Interligação submarina (tieback)</t>
        </is>
      </c>
      <c r="F1038" t="inlineStr">
        <is>
          <t>Amostral</t>
        </is>
      </c>
      <c r="G1038" s="8" t="n">
        <v>1494671.89</v>
      </c>
      <c r="H1038" s="8" t="n">
        <v>1494671.89</v>
      </c>
      <c r="I1038" s="8">
        <f>G1038-H1038</f>
        <v/>
      </c>
      <c r="J1038" s="11">
        <f>IF(G1038=0,0,MIN(1,I1038/G1038))</f>
        <v/>
      </c>
    </row>
    <row r="1039">
      <c r="A1039" t="inlineStr">
        <is>
          <t>IMB0280447</t>
        </is>
      </c>
      <c r="B1039" t="inlineStr">
        <is>
          <t>Gastos com Desenvolvimento</t>
        </is>
      </c>
      <c r="C1039" t="inlineStr">
        <is>
          <t>Prio Bravo</t>
        </is>
      </c>
      <c r="D1039" t="inlineStr">
        <is>
          <t>Polvo &amp; TBMT</t>
        </is>
      </c>
      <c r="E1039" t="inlineStr">
        <is>
          <t>Serviço de perfuração - diária de sonda</t>
        </is>
      </c>
      <c r="F1039" t="inlineStr">
        <is>
          <t>Amostral</t>
        </is>
      </c>
      <c r="G1039" s="8" t="n">
        <v>5067.48</v>
      </c>
      <c r="H1039" s="8" t="n">
        <v>5067.48</v>
      </c>
      <c r="I1039" s="8">
        <f>G1039-H1039</f>
        <v/>
      </c>
      <c r="J1039" s="11">
        <f>IF(G1039=0,0,MIN(1,I1039/G1039))</f>
        <v/>
      </c>
    </row>
    <row r="1040">
      <c r="A1040" t="inlineStr">
        <is>
          <t>IMB0281316</t>
        </is>
      </c>
      <c r="B1040" t="inlineStr">
        <is>
          <t>Gastos com Desenvolvimento</t>
        </is>
      </c>
      <c r="C1040" t="inlineStr">
        <is>
          <t>Prio Forte</t>
        </is>
      </c>
      <c r="D1040" t="inlineStr">
        <is>
          <t>Albacora Leste</t>
        </is>
      </c>
      <c r="E1040" t="inlineStr">
        <is>
          <t>Serviço de perfuração - diária de sonda</t>
        </is>
      </c>
      <c r="F1040" t="inlineStr">
        <is>
          <t>Amostral</t>
        </is>
      </c>
      <c r="G1040" s="8" t="n">
        <v>35971.97</v>
      </c>
      <c r="H1040" s="8" t="n">
        <v>35971.97</v>
      </c>
      <c r="I1040" s="8">
        <f>G1040-H1040</f>
        <v/>
      </c>
      <c r="J1040" s="11">
        <f>IF(G1040=0,0,MIN(1,I1040/G1040))</f>
        <v/>
      </c>
    </row>
    <row r="1041">
      <c r="A1041" t="inlineStr">
        <is>
          <t>IMB0282040</t>
        </is>
      </c>
      <c r="B1041" t="inlineStr">
        <is>
          <t>Gastos com Desenvolvimento</t>
        </is>
      </c>
      <c r="C1041" t="inlineStr">
        <is>
          <t>Prio Bravo</t>
        </is>
      </c>
      <c r="D1041" t="inlineStr">
        <is>
          <t>Polvo &amp; TBMT</t>
        </is>
      </c>
      <c r="E1041" t="inlineStr">
        <is>
          <t>Embarcação de apoio - logística offshore</t>
        </is>
      </c>
      <c r="F1041" t="inlineStr">
        <is>
          <t>Amostral</t>
        </is>
      </c>
      <c r="G1041" s="8" t="n">
        <v>141961.8</v>
      </c>
      <c r="H1041" s="8" t="n">
        <v>141961.8</v>
      </c>
      <c r="I1041" s="8">
        <f>G1041-H1041</f>
        <v/>
      </c>
      <c r="J1041" s="11">
        <f>IF(G1041=0,0,MIN(1,I1041/G1041))</f>
        <v/>
      </c>
    </row>
    <row r="1042">
      <c r="A1042" t="inlineStr">
        <is>
          <t>IMB0282592</t>
        </is>
      </c>
      <c r="B1042" t="inlineStr">
        <is>
          <t>Gastos com Desenvolvimento</t>
        </is>
      </c>
      <c r="C1042" t="inlineStr">
        <is>
          <t>Prio Forte</t>
        </is>
      </c>
      <c r="D1042" t="inlineStr">
        <is>
          <t>Wahoo</t>
        </is>
      </c>
      <c r="E1042" t="inlineStr">
        <is>
          <t>Licenciamento ambiental e estudos</t>
        </is>
      </c>
      <c r="F1042" t="inlineStr">
        <is>
          <t>Amostral</t>
        </is>
      </c>
      <c r="G1042" s="8" t="n">
        <v>106324.55</v>
      </c>
      <c r="H1042" s="8" t="n">
        <v>106324.55</v>
      </c>
      <c r="I1042" s="8">
        <f>G1042-H1042</f>
        <v/>
      </c>
      <c r="J1042" s="11">
        <f>IF(G1042=0,0,MIN(1,I1042/G1042))</f>
        <v/>
      </c>
    </row>
    <row r="1043">
      <c r="A1043" t="inlineStr">
        <is>
          <t>IMB0283352</t>
        </is>
      </c>
      <c r="B1043" t="inlineStr">
        <is>
          <t>Gastos com Desenvolvimento</t>
        </is>
      </c>
      <c r="C1043" t="inlineStr">
        <is>
          <t>Prio Forte</t>
        </is>
      </c>
      <c r="D1043" t="inlineStr">
        <is>
          <t>Albacora Leste</t>
        </is>
      </c>
      <c r="E1043" t="inlineStr">
        <is>
          <t>Serviços de ROV e mergulho</t>
        </is>
      </c>
      <c r="F1043" t="inlineStr">
        <is>
          <t>Amostral</t>
        </is>
      </c>
      <c r="G1043" s="8" t="n">
        <v>44353.65</v>
      </c>
      <c r="H1043" s="8" t="n">
        <v>44353.65</v>
      </c>
      <c r="I1043" s="8">
        <f>G1043-H1043</f>
        <v/>
      </c>
      <c r="J1043" s="11">
        <f>IF(G1043=0,0,MIN(1,I1043/G1043))</f>
        <v/>
      </c>
    </row>
    <row r="1044">
      <c r="A1044" t="inlineStr">
        <is>
          <t>IMB0284060</t>
        </is>
      </c>
      <c r="B1044" t="inlineStr">
        <is>
          <t>Gastos com Desenvolvimento</t>
        </is>
      </c>
      <c r="C1044" t="inlineStr">
        <is>
          <t>Prio Tigris</t>
        </is>
      </c>
      <c r="D1044" t="inlineStr">
        <is>
          <t>Peregrino</t>
        </is>
      </c>
      <c r="E1044" t="inlineStr">
        <is>
          <t>Fornecimento de ANM</t>
        </is>
      </c>
      <c r="F1044" t="inlineStr">
        <is>
          <t>Amostral</t>
        </is>
      </c>
      <c r="G1044" s="8" t="n">
        <v>245515.29</v>
      </c>
      <c r="H1044" s="8" t="n">
        <v>245515.29</v>
      </c>
      <c r="I1044" s="8">
        <f>G1044-H1044</f>
        <v/>
      </c>
      <c r="J1044" s="11">
        <f>IF(G1044=0,0,MIN(1,I1044/G1044))</f>
        <v/>
      </c>
    </row>
    <row r="1045">
      <c r="A1045" t="inlineStr">
        <is>
          <t>IMB0284691</t>
        </is>
      </c>
      <c r="B1045" t="inlineStr">
        <is>
          <t>Gastos com Desenvolvimento</t>
        </is>
      </c>
      <c r="C1045" t="inlineStr">
        <is>
          <t>Prio Bravo</t>
        </is>
      </c>
      <c r="D1045" t="inlineStr">
        <is>
          <t>Polvo &amp; TBMT</t>
        </is>
      </c>
      <c r="E1045" t="inlineStr">
        <is>
          <t>Engenharia de projeto (FEED/detalhamento)</t>
        </is>
      </c>
      <c r="F1045" t="inlineStr">
        <is>
          <t>Amostral</t>
        </is>
      </c>
      <c r="G1045" s="8" t="n">
        <v>275106.93</v>
      </c>
      <c r="H1045" s="8" t="n">
        <v>275106.93</v>
      </c>
      <c r="I1045" s="8">
        <f>G1045-H1045</f>
        <v/>
      </c>
      <c r="J1045" s="11">
        <f>IF(G1045=0,0,MIN(1,I1045/G1045))</f>
        <v/>
      </c>
    </row>
    <row r="1046">
      <c r="A1046" t="inlineStr">
        <is>
          <t>IMB0285547</t>
        </is>
      </c>
      <c r="B1046" t="inlineStr">
        <is>
          <t>Gastos com Desenvolvimento</t>
        </is>
      </c>
      <c r="C1046" t="inlineStr">
        <is>
          <t>Prio Forte</t>
        </is>
      </c>
      <c r="D1046" t="inlineStr">
        <is>
          <t>Wahoo</t>
        </is>
      </c>
      <c r="E1046" t="inlineStr">
        <is>
          <t>Interligação submarina (tieback)</t>
        </is>
      </c>
      <c r="F1046" t="inlineStr">
        <is>
          <t>Amostral</t>
        </is>
      </c>
      <c r="G1046" s="8" t="n">
        <v>137071.97</v>
      </c>
      <c r="H1046" s="8" t="n">
        <v>137071.97</v>
      </c>
      <c r="I1046" s="8">
        <f>G1046-H1046</f>
        <v/>
      </c>
      <c r="J1046" s="11">
        <f>IF(G1046=0,0,MIN(1,I1046/G1046))</f>
        <v/>
      </c>
    </row>
    <row r="1047">
      <c r="A1047" t="inlineStr">
        <is>
          <t>IMB0286216</t>
        </is>
      </c>
      <c r="B1047" t="inlineStr">
        <is>
          <t>Gastos com Desenvolvimento</t>
        </is>
      </c>
      <c r="C1047" t="inlineStr">
        <is>
          <t>Prio Forte</t>
        </is>
      </c>
      <c r="D1047" t="inlineStr">
        <is>
          <t>Frade</t>
        </is>
      </c>
      <c r="E1047" t="inlineStr">
        <is>
          <t>Fluidos e cimentação</t>
        </is>
      </c>
      <c r="F1047" t="inlineStr">
        <is>
          <t>Amostral</t>
        </is>
      </c>
      <c r="G1047" s="8" t="n">
        <v>173559.45</v>
      </c>
      <c r="H1047" s="8" t="n">
        <v>173559.45</v>
      </c>
      <c r="I1047" s="8">
        <f>G1047-H1047</f>
        <v/>
      </c>
      <c r="J1047" s="11">
        <f>IF(G1047=0,0,MIN(1,I1047/G1047))</f>
        <v/>
      </c>
    </row>
    <row r="1048">
      <c r="A1048" t="inlineStr">
        <is>
          <t>IMB0286931</t>
        </is>
      </c>
      <c r="B1048" t="inlineStr">
        <is>
          <t>Gastos com Desenvolvimento</t>
        </is>
      </c>
      <c r="C1048" t="inlineStr">
        <is>
          <t>Prio Forte</t>
        </is>
      </c>
      <c r="D1048" t="inlineStr">
        <is>
          <t>Frade</t>
        </is>
      </c>
      <c r="E1048" t="inlineStr">
        <is>
          <t>Juros capitalizados (CPC 20)</t>
        </is>
      </c>
      <c r="F1048" t="inlineStr">
        <is>
          <t>Amostral</t>
        </is>
      </c>
      <c r="G1048" s="8" t="n">
        <v>249920.19</v>
      </c>
      <c r="H1048" s="8" t="n">
        <v>249920.19</v>
      </c>
      <c r="I1048" s="8">
        <f>G1048-H1048</f>
        <v/>
      </c>
      <c r="J1048" s="11">
        <f>IF(G1048=0,0,MIN(1,I1048/G1048))</f>
        <v/>
      </c>
    </row>
    <row r="1049">
      <c r="A1049" t="inlineStr">
        <is>
          <t>IMB0287644</t>
        </is>
      </c>
      <c r="B1049" t="inlineStr">
        <is>
          <t>Gastos com Desenvolvimento</t>
        </is>
      </c>
      <c r="C1049" t="inlineStr">
        <is>
          <t>Prio Forte</t>
        </is>
      </c>
      <c r="D1049" t="inlineStr">
        <is>
          <t>Wahoo</t>
        </is>
      </c>
      <c r="E1049" t="inlineStr">
        <is>
          <t>Materiais aplicados em poço</t>
        </is>
      </c>
      <c r="F1049" t="inlineStr">
        <is>
          <t>Amostral</t>
        </is>
      </c>
      <c r="G1049" s="8" t="n">
        <v>217567.34</v>
      </c>
      <c r="H1049" s="8" t="n">
        <v>217567.34</v>
      </c>
      <c r="I1049" s="8">
        <f>G1049-H1049</f>
        <v/>
      </c>
      <c r="J1049" s="11">
        <f>IF(G1049=0,0,MIN(1,I1049/G1049))</f>
        <v/>
      </c>
    </row>
    <row r="1050">
      <c r="A1050" t="inlineStr">
        <is>
          <t>IMB0288344</t>
        </is>
      </c>
      <c r="B1050" t="inlineStr">
        <is>
          <t>Gastos com Desenvolvimento</t>
        </is>
      </c>
      <c r="C1050" t="inlineStr">
        <is>
          <t>Prio Tigris</t>
        </is>
      </c>
      <c r="D1050" t="inlineStr">
        <is>
          <t>Peregrino</t>
        </is>
      </c>
      <c r="E1050" t="inlineStr">
        <is>
          <t>Licenciamento ambiental e estudos</t>
        </is>
      </c>
      <c r="F1050" t="inlineStr">
        <is>
          <t>Amostral</t>
        </is>
      </c>
      <c r="G1050" s="8" t="n">
        <v>737824.33</v>
      </c>
      <c r="H1050" s="8" t="n">
        <v>737824.33</v>
      </c>
      <c r="I1050" s="8">
        <f>G1050-H1050</f>
        <v/>
      </c>
      <c r="J1050" s="11">
        <f>IF(G1050=0,0,MIN(1,I1050/G1050))</f>
        <v/>
      </c>
    </row>
    <row r="1051">
      <c r="A1051" t="inlineStr">
        <is>
          <t>IMB0289069</t>
        </is>
      </c>
      <c r="B1051" t="inlineStr">
        <is>
          <t>Gastos com Desenvolvimento</t>
        </is>
      </c>
      <c r="C1051" t="inlineStr">
        <is>
          <t>Prio Forte</t>
        </is>
      </c>
      <c r="D1051" t="inlineStr">
        <is>
          <t>Albacora Leste</t>
        </is>
      </c>
      <c r="E1051" t="inlineStr">
        <is>
          <t>Materiais aplicados em poço</t>
        </is>
      </c>
      <c r="F1051" t="inlineStr">
        <is>
          <t>Amostral</t>
        </is>
      </c>
      <c r="G1051" s="8" t="n">
        <v>46364.73</v>
      </c>
      <c r="H1051" s="8" t="n">
        <v>46364.73</v>
      </c>
      <c r="I1051" s="8">
        <f>G1051-H1051</f>
        <v/>
      </c>
      <c r="J1051" s="11">
        <f>IF(G1051=0,0,MIN(1,I1051/G1051))</f>
        <v/>
      </c>
    </row>
    <row r="1052">
      <c r="A1052" t="inlineStr">
        <is>
          <t>IMB0289843</t>
        </is>
      </c>
      <c r="B1052" t="inlineStr">
        <is>
          <t>Gastos com Desenvolvimento</t>
        </is>
      </c>
      <c r="C1052" t="inlineStr">
        <is>
          <t>Prio Forte</t>
        </is>
      </c>
      <c r="D1052" t="inlineStr">
        <is>
          <t>Wahoo</t>
        </is>
      </c>
      <c r="E1052" t="inlineStr">
        <is>
          <t>Fornecimento de ANM</t>
        </is>
      </c>
      <c r="F1052" t="inlineStr">
        <is>
          <t>Amostral</t>
        </is>
      </c>
      <c r="G1052" s="8" t="n">
        <v>20725.16</v>
      </c>
      <c r="H1052" s="8" t="n">
        <v>20725.16</v>
      </c>
      <c r="I1052" s="8">
        <f>G1052-H1052</f>
        <v/>
      </c>
      <c r="J1052" s="11">
        <f>IF(G1052=0,0,MIN(1,I1052/G1052))</f>
        <v/>
      </c>
    </row>
    <row r="1053">
      <c r="A1053" t="inlineStr">
        <is>
          <t>IMB0290659</t>
        </is>
      </c>
      <c r="B1053" t="inlineStr">
        <is>
          <t>Gastos com Desenvolvimento</t>
        </is>
      </c>
      <c r="C1053" t="inlineStr">
        <is>
          <t>Prio Forte</t>
        </is>
      </c>
      <c r="D1053" t="inlineStr">
        <is>
          <t>Frade</t>
        </is>
      </c>
      <c r="E1053" t="inlineStr">
        <is>
          <t>Engenharia de projeto (FEED/detalhamento)</t>
        </is>
      </c>
      <c r="F1053" t="inlineStr">
        <is>
          <t>Amostral</t>
        </is>
      </c>
      <c r="G1053" s="8" t="n">
        <v>55448.72</v>
      </c>
      <c r="H1053" s="8" t="n">
        <v>55448.72</v>
      </c>
      <c r="I1053" s="8">
        <f>G1053-H1053</f>
        <v/>
      </c>
      <c r="J1053" s="11">
        <f>IF(G1053=0,0,MIN(1,I1053/G1053))</f>
        <v/>
      </c>
    </row>
    <row r="1054">
      <c r="A1054" t="inlineStr">
        <is>
          <t>IMB0291398</t>
        </is>
      </c>
      <c r="B1054" t="inlineStr">
        <is>
          <t>Gastos com Desenvolvimento</t>
        </is>
      </c>
      <c r="C1054" t="inlineStr">
        <is>
          <t>Prio Bravo</t>
        </is>
      </c>
      <c r="D1054" t="inlineStr">
        <is>
          <t>Polvo &amp; TBMT</t>
        </is>
      </c>
      <c r="E1054" t="inlineStr">
        <is>
          <t>Instalação de linhas (PLSV)</t>
        </is>
      </c>
      <c r="F1054" t="inlineStr">
        <is>
          <t>Amostral</t>
        </is>
      </c>
      <c r="G1054" s="8" t="n">
        <v>193609.98</v>
      </c>
      <c r="H1054" s="8" t="n">
        <v>193609.98</v>
      </c>
      <c r="I1054" s="8">
        <f>G1054-H1054</f>
        <v/>
      </c>
      <c r="J1054" s="11">
        <f>IF(G1054=0,0,MIN(1,I1054/G1054))</f>
        <v/>
      </c>
    </row>
    <row r="1055">
      <c r="A1055" t="inlineStr">
        <is>
          <t>IMB0292103</t>
        </is>
      </c>
      <c r="B1055" t="inlineStr">
        <is>
          <t>Gastos com Desenvolvimento</t>
        </is>
      </c>
      <c r="C1055" t="inlineStr">
        <is>
          <t>Prio Tigris</t>
        </is>
      </c>
      <c r="D1055" t="inlineStr">
        <is>
          <t>Peregrino</t>
        </is>
      </c>
      <c r="E1055" t="inlineStr">
        <is>
          <t>Serviços de ROV e mergulho</t>
        </is>
      </c>
      <c r="F1055" t="inlineStr">
        <is>
          <t>Amostral</t>
        </is>
      </c>
      <c r="G1055" s="8" t="n">
        <v>152211.29</v>
      </c>
      <c r="H1055" s="8" t="n">
        <v>152211.29</v>
      </c>
      <c r="I1055" s="8">
        <f>G1055-H1055</f>
        <v/>
      </c>
      <c r="J1055" s="11">
        <f>IF(G1055=0,0,MIN(1,I1055/G1055))</f>
        <v/>
      </c>
    </row>
    <row r="1056">
      <c r="A1056" t="inlineStr">
        <is>
          <t>IMB0292783</t>
        </is>
      </c>
      <c r="B1056" t="inlineStr">
        <is>
          <t>Gastos com Desenvolvimento</t>
        </is>
      </c>
      <c r="C1056" t="inlineStr">
        <is>
          <t>Prio Forte</t>
        </is>
      </c>
      <c r="D1056" t="inlineStr">
        <is>
          <t>Wahoo</t>
        </is>
      </c>
      <c r="E1056" t="inlineStr">
        <is>
          <t>Instalação de linhas (PLSV)</t>
        </is>
      </c>
      <c r="F1056" t="inlineStr">
        <is>
          <t>Amostral</t>
        </is>
      </c>
      <c r="G1056" s="8" t="n">
        <v>345606.88</v>
      </c>
      <c r="H1056" s="8" t="n">
        <v>345606.88</v>
      </c>
      <c r="I1056" s="8">
        <f>G1056-H1056</f>
        <v/>
      </c>
      <c r="J1056" s="11">
        <f>IF(G1056=0,0,MIN(1,I1056/G1056))</f>
        <v/>
      </c>
    </row>
    <row r="1057">
      <c r="A1057" t="inlineStr">
        <is>
          <t>IMB0296793</t>
        </is>
      </c>
      <c r="B1057" t="inlineStr">
        <is>
          <t>Sobressalentes</t>
        </is>
      </c>
      <c r="C1057" t="inlineStr">
        <is>
          <t>Prio Tigris</t>
        </is>
      </c>
      <c r="D1057" t="inlineStr">
        <is>
          <t>Peregrino</t>
        </is>
      </c>
      <c r="E1057" t="inlineStr">
        <is>
          <t>Inversor de frequência</t>
        </is>
      </c>
      <c r="F1057" t="inlineStr">
        <is>
          <t>Amostral</t>
        </is>
      </c>
      <c r="G1057" s="8" t="n">
        <v>15000.62</v>
      </c>
      <c r="H1057" s="8" t="n">
        <v>15000.62</v>
      </c>
      <c r="I1057" s="8">
        <f>G1057-H1057</f>
        <v/>
      </c>
      <c r="J1057" s="11">
        <f>IF(G1057=0,0,MIN(1,I1057/G1057))</f>
        <v/>
      </c>
    </row>
    <row r="1058">
      <c r="A1058" t="inlineStr">
        <is>
          <t>IMB0301028</t>
        </is>
      </c>
      <c r="B1058" t="inlineStr">
        <is>
          <t>Sobressalentes</t>
        </is>
      </c>
      <c r="C1058" t="inlineStr">
        <is>
          <t>Prio Tigris</t>
        </is>
      </c>
      <c r="D1058" t="inlineStr">
        <is>
          <t>Peregrino</t>
        </is>
      </c>
      <c r="E1058" t="inlineStr">
        <is>
          <t>Filtro coalescedor</t>
        </is>
      </c>
      <c r="F1058" t="inlineStr">
        <is>
          <t>Amostral</t>
        </is>
      </c>
      <c r="G1058" s="8" t="n">
        <v>20733.55</v>
      </c>
      <c r="H1058" s="8" t="n">
        <v>20733.55</v>
      </c>
      <c r="I1058" s="8">
        <f>G1058-H1058</f>
        <v/>
      </c>
      <c r="J1058" s="11">
        <f>IF(G1058=0,0,MIN(1,I1058/G1058))</f>
        <v/>
      </c>
    </row>
    <row r="1059">
      <c r="A1059" t="inlineStr">
        <is>
          <t>IMB0305207</t>
        </is>
      </c>
      <c r="B1059" t="inlineStr">
        <is>
          <t>Sobressalentes</t>
        </is>
      </c>
      <c r="C1059" t="inlineStr">
        <is>
          <t>Prio Tigris</t>
        </is>
      </c>
      <c r="D1059" t="inlineStr">
        <is>
          <t>Peregrino</t>
        </is>
      </c>
      <c r="E1059" t="inlineStr">
        <is>
          <t>Kit de vedação</t>
        </is>
      </c>
      <c r="F1059" t="inlineStr">
        <is>
          <t>Amostral</t>
        </is>
      </c>
      <c r="G1059" s="8" t="n">
        <v>9485.9</v>
      </c>
      <c r="H1059" s="8" t="n">
        <v>9485.9</v>
      </c>
      <c r="I1059" s="8">
        <f>G1059-H1059</f>
        <v/>
      </c>
      <c r="J1059" s="11">
        <f>IF(G1059=0,0,MIN(1,I1059/G1059))</f>
        <v/>
      </c>
    </row>
    <row r="1060">
      <c r="A1060" t="inlineStr">
        <is>
          <t>IMB0309483</t>
        </is>
      </c>
      <c r="B1060" t="inlineStr">
        <is>
          <t>Sobressalentes</t>
        </is>
      </c>
      <c r="C1060" t="inlineStr">
        <is>
          <t>Prio Tigris</t>
        </is>
      </c>
      <c r="D1060" t="inlineStr">
        <is>
          <t>Peregrino</t>
        </is>
      </c>
      <c r="E1060" t="inlineStr">
        <is>
          <t>Rolamento especial</t>
        </is>
      </c>
      <c r="F1060" t="inlineStr">
        <is>
          <t>Amostral</t>
        </is>
      </c>
      <c r="G1060" s="8" t="n">
        <v>19095.67</v>
      </c>
      <c r="H1060" s="8" t="n">
        <v>19095.67</v>
      </c>
      <c r="I1060" s="8">
        <f>G1060-H1060</f>
        <v/>
      </c>
      <c r="J1060" s="11">
        <f>IF(G1060=0,0,MIN(1,I1060/G1060))</f>
        <v/>
      </c>
    </row>
    <row r="1061">
      <c r="A1061" t="inlineStr">
        <is>
          <t>IMB0313793</t>
        </is>
      </c>
      <c r="B1061" t="inlineStr">
        <is>
          <t>Sobressalentes</t>
        </is>
      </c>
      <c r="C1061" t="inlineStr">
        <is>
          <t>Prio Tigris</t>
        </is>
      </c>
      <c r="D1061" t="inlineStr">
        <is>
          <t>Peregrino</t>
        </is>
      </c>
      <c r="E1061" t="inlineStr">
        <is>
          <t>Kit de vedação</t>
        </is>
      </c>
      <c r="F1061" t="inlineStr">
        <is>
          <t>Amostral</t>
        </is>
      </c>
      <c r="G1061" s="8" t="n">
        <v>23572.52</v>
      </c>
      <c r="H1061" s="8" t="n">
        <v>23572.52</v>
      </c>
      <c r="I1061" s="8">
        <f>G1061-H1061</f>
        <v/>
      </c>
      <c r="J1061" s="11">
        <f>IF(G1061=0,0,MIN(1,I1061/G1061))</f>
        <v/>
      </c>
    </row>
    <row r="1062">
      <c r="A1062" t="inlineStr">
        <is>
          <t>IMB0318091</t>
        </is>
      </c>
      <c r="B1062" t="inlineStr">
        <is>
          <t>Sobressalentes</t>
        </is>
      </c>
      <c r="C1062" t="inlineStr">
        <is>
          <t>Prio Tigris</t>
        </is>
      </c>
      <c r="D1062" t="inlineStr">
        <is>
          <t>Peregrino</t>
        </is>
      </c>
      <c r="E1062" t="inlineStr">
        <is>
          <t>Atuador hidráulico</t>
        </is>
      </c>
      <c r="F1062" t="inlineStr">
        <is>
          <t>Amostral</t>
        </is>
      </c>
      <c r="G1062" s="8" t="n">
        <v>32699.83</v>
      </c>
      <c r="H1062" s="8" t="n">
        <v>32699.83</v>
      </c>
      <c r="I1062" s="8">
        <f>G1062-H1062</f>
        <v/>
      </c>
      <c r="J1062" s="11">
        <f>IF(G1062=0,0,MIN(1,I1062/G1062))</f>
        <v/>
      </c>
    </row>
    <row r="1063">
      <c r="A1063" t="inlineStr">
        <is>
          <t>IMB0322395</t>
        </is>
      </c>
      <c r="B1063" t="inlineStr">
        <is>
          <t>Sobressalentes</t>
        </is>
      </c>
      <c r="C1063" t="inlineStr">
        <is>
          <t>Prio Tigris</t>
        </is>
      </c>
      <c r="D1063" t="inlineStr">
        <is>
          <t>Peregrino</t>
        </is>
      </c>
      <c r="E1063" t="inlineStr">
        <is>
          <t>Selo mecânico</t>
        </is>
      </c>
      <c r="F1063" t="inlineStr">
        <is>
          <t>Amostral</t>
        </is>
      </c>
      <c r="G1063" s="8" t="n">
        <v>1952.1</v>
      </c>
      <c r="H1063" s="8" t="n">
        <v>1952.1</v>
      </c>
      <c r="I1063" s="8">
        <f>G1063-H1063</f>
        <v/>
      </c>
      <c r="J1063" s="11">
        <f>IF(G1063=0,0,MIN(1,I1063/G1063))</f>
        <v/>
      </c>
    </row>
    <row r="1064">
      <c r="A1064" t="inlineStr">
        <is>
          <t>IMB0326478</t>
        </is>
      </c>
      <c r="B1064" t="inlineStr">
        <is>
          <t>Sobressalentes</t>
        </is>
      </c>
      <c r="C1064" t="inlineStr">
        <is>
          <t>Prio Forte</t>
        </is>
      </c>
      <c r="D1064" t="inlineStr">
        <is>
          <t>Frade</t>
        </is>
      </c>
      <c r="E1064" t="inlineStr">
        <is>
          <t>Inversor de frequência</t>
        </is>
      </c>
      <c r="F1064" t="inlineStr">
        <is>
          <t>Amostral</t>
        </is>
      </c>
      <c r="G1064" s="8" t="n">
        <v>23072.69</v>
      </c>
      <c r="H1064" s="8" t="n">
        <v>23072.69</v>
      </c>
      <c r="I1064" s="8">
        <f>G1064-H1064</f>
        <v/>
      </c>
      <c r="J1064" s="11">
        <f>IF(G1064=0,0,MIN(1,I1064/G1064))</f>
        <v/>
      </c>
    </row>
    <row r="1065">
      <c r="A1065" t="inlineStr">
        <is>
          <t>IMB0330954</t>
        </is>
      </c>
      <c r="B1065" t="inlineStr">
        <is>
          <t>Sobressalentes</t>
        </is>
      </c>
      <c r="C1065" t="inlineStr">
        <is>
          <t>Prio Tigris</t>
        </is>
      </c>
      <c r="D1065" t="inlineStr">
        <is>
          <t>Peregrino</t>
        </is>
      </c>
      <c r="E1065" t="inlineStr">
        <is>
          <t>Filtro coalescedor</t>
        </is>
      </c>
      <c r="F1065" t="inlineStr">
        <is>
          <t>Amostral</t>
        </is>
      </c>
      <c r="G1065" s="8" t="n">
        <v>43051.58</v>
      </c>
      <c r="H1065" s="8" t="n">
        <v>43051.58</v>
      </c>
      <c r="I1065" s="8">
        <f>G1065-H1065</f>
        <v/>
      </c>
      <c r="J1065" s="11">
        <f>IF(G1065=0,0,MIN(1,I1065/G1065))</f>
        <v/>
      </c>
    </row>
    <row r="1066">
      <c r="A1066" t="inlineStr">
        <is>
          <t>IMB0335091</t>
        </is>
      </c>
      <c r="B1066" t="inlineStr">
        <is>
          <t>Sobressalentes</t>
        </is>
      </c>
      <c r="C1066" t="inlineStr">
        <is>
          <t>Prio Bravo</t>
        </is>
      </c>
      <c r="D1066" t="inlineStr">
        <is>
          <t>Polvo &amp; TBMT</t>
        </is>
      </c>
      <c r="E1066" t="inlineStr">
        <is>
          <t>Selo mecânico</t>
        </is>
      </c>
      <c r="F1066" t="inlineStr">
        <is>
          <t>Amostral</t>
        </is>
      </c>
      <c r="G1066" s="8" t="n">
        <v>13972.09</v>
      </c>
      <c r="H1066" s="8" t="n">
        <v>13972.09</v>
      </c>
      <c r="I1066" s="8">
        <f>G1066-H1066</f>
        <v/>
      </c>
      <c r="J1066" s="11">
        <f>IF(G1066=0,0,MIN(1,I1066/G1066))</f>
        <v/>
      </c>
    </row>
    <row r="1067">
      <c r="A1067" t="inlineStr">
        <is>
          <t>IMB0339567</t>
        </is>
      </c>
      <c r="B1067" t="inlineStr">
        <is>
          <t>Sobressalentes</t>
        </is>
      </c>
      <c r="C1067" t="inlineStr">
        <is>
          <t>Prio Tigris</t>
        </is>
      </c>
      <c r="D1067" t="inlineStr">
        <is>
          <t>Peregrino</t>
        </is>
      </c>
      <c r="E1067" t="inlineStr">
        <is>
          <t>Válvula esfera 6"</t>
        </is>
      </c>
      <c r="F1067" t="inlineStr">
        <is>
          <t>Amostral</t>
        </is>
      </c>
      <c r="G1067" s="8" t="n">
        <v>4799.53</v>
      </c>
      <c r="H1067" s="8" t="n">
        <v>4799.53</v>
      </c>
      <c r="I1067" s="8">
        <f>G1067-H1067</f>
        <v/>
      </c>
      <c r="J1067" s="11">
        <f>IF(G1067=0,0,MIN(1,I1067/G1067))</f>
        <v/>
      </c>
    </row>
    <row r="1068">
      <c r="A1068" t="inlineStr">
        <is>
          <t>IMB0343806</t>
        </is>
      </c>
      <c r="B1068" t="inlineStr">
        <is>
          <t>Sobressalentes</t>
        </is>
      </c>
      <c r="C1068" t="inlineStr">
        <is>
          <t>Prio Forte</t>
        </is>
      </c>
      <c r="D1068" t="inlineStr">
        <is>
          <t>Albacora Leste</t>
        </is>
      </c>
      <c r="E1068" t="inlineStr">
        <is>
          <t>Válvula esfera 6"</t>
        </is>
      </c>
      <c r="F1068" t="inlineStr">
        <is>
          <t>Amostral</t>
        </is>
      </c>
      <c r="G1068" s="8" t="n">
        <v>15056.61</v>
      </c>
      <c r="H1068" s="8" t="n">
        <v>15056.61</v>
      </c>
      <c r="I1068" s="8">
        <f>G1068-H1068</f>
        <v/>
      </c>
      <c r="J1068" s="11">
        <f>IF(G1068=0,0,MIN(1,I1068/G1068))</f>
        <v/>
      </c>
    </row>
    <row r="1069">
      <c r="A1069" t="inlineStr">
        <is>
          <t>IMB0348067</t>
        </is>
      </c>
      <c r="B1069" t="inlineStr">
        <is>
          <t>Sobressalentes</t>
        </is>
      </c>
      <c r="C1069" t="inlineStr">
        <is>
          <t>Prio Tigris</t>
        </is>
      </c>
      <c r="D1069" t="inlineStr">
        <is>
          <t>Peregrino</t>
        </is>
      </c>
      <c r="E1069" t="inlineStr">
        <is>
          <t>Válvula esfera 6"</t>
        </is>
      </c>
      <c r="F1069" t="inlineStr">
        <is>
          <t>Amostral</t>
        </is>
      </c>
      <c r="G1069" s="8" t="n">
        <v>91205</v>
      </c>
      <c r="H1069" s="8" t="n">
        <v>91205</v>
      </c>
      <c r="I1069" s="8">
        <f>G1069-H1069</f>
        <v/>
      </c>
      <c r="J1069" s="11">
        <f>IF(G1069=0,0,MIN(1,I1069/G1069))</f>
        <v/>
      </c>
    </row>
    <row r="1070">
      <c r="A1070" t="inlineStr">
        <is>
          <t>IMB0352235</t>
        </is>
      </c>
      <c r="B1070" t="inlineStr">
        <is>
          <t>Sobressalentes</t>
        </is>
      </c>
      <c r="C1070" t="inlineStr">
        <is>
          <t>Prio Forte</t>
        </is>
      </c>
      <c r="D1070" t="inlineStr">
        <is>
          <t>Frade</t>
        </is>
      </c>
      <c r="E1070" t="inlineStr">
        <is>
          <t>Inversor de frequência</t>
        </is>
      </c>
      <c r="F1070" t="inlineStr">
        <is>
          <t>Amostral</t>
        </is>
      </c>
      <c r="G1070" s="8" t="n">
        <v>3815.45</v>
      </c>
      <c r="H1070" s="8" t="n">
        <v>3815.45</v>
      </c>
      <c r="I1070" s="8">
        <f>G1070-H1070</f>
        <v/>
      </c>
      <c r="J1070" s="11">
        <f>IF(G1070=0,0,MIN(1,I1070/G1070))</f>
        <v/>
      </c>
    </row>
    <row r="1071">
      <c r="A1071" t="inlineStr">
        <is>
          <t>IMB0354315</t>
        </is>
      </c>
      <c r="B1071" t="inlineStr">
        <is>
          <t>Material poços</t>
        </is>
      </c>
      <c r="C1071" t="inlineStr">
        <is>
          <t>Prio Tigris</t>
        </is>
      </c>
      <c r="D1071" t="inlineStr">
        <is>
          <t>Peregrino</t>
        </is>
      </c>
      <c r="E1071" t="inlineStr">
        <is>
          <t>Cabeça de poço submarina</t>
        </is>
      </c>
      <c r="F1071" t="inlineStr">
        <is>
          <t>Amostral</t>
        </is>
      </c>
      <c r="G1071" s="8" t="n">
        <v>22457.42</v>
      </c>
      <c r="H1071" s="8" t="n">
        <v>22457.42</v>
      </c>
      <c r="I1071" s="8">
        <f>G1071-H1071</f>
        <v/>
      </c>
      <c r="J1071" s="11">
        <f>IF(G1071=0,0,MIN(1,I1071/G1071))</f>
        <v/>
      </c>
    </row>
    <row r="1072">
      <c r="A1072" t="inlineStr">
        <is>
          <t>IMB0355955</t>
        </is>
      </c>
      <c r="B1072" t="inlineStr">
        <is>
          <t>Material poços</t>
        </is>
      </c>
      <c r="C1072" t="inlineStr">
        <is>
          <t>Prio Tigris</t>
        </is>
      </c>
      <c r="D1072" t="inlineStr">
        <is>
          <t>Peregrino</t>
        </is>
      </c>
      <c r="E1072" t="inlineStr">
        <is>
          <t>Tubo de produção 4 1/2" (lote)</t>
        </is>
      </c>
      <c r="F1072" t="inlineStr">
        <is>
          <t>Amostral</t>
        </is>
      </c>
      <c r="G1072" s="8" t="n">
        <v>58103.85</v>
      </c>
      <c r="H1072" s="8" t="n">
        <v>58103.85</v>
      </c>
      <c r="I1072" s="8">
        <f>G1072-H1072</f>
        <v/>
      </c>
      <c r="J1072" s="11">
        <f>IF(G1072=0,0,MIN(1,I1072/G1072))</f>
        <v/>
      </c>
    </row>
    <row r="1073">
      <c r="A1073" t="inlineStr">
        <is>
          <t>IMB0357558</t>
        </is>
      </c>
      <c r="B1073" t="inlineStr">
        <is>
          <t>Material poços</t>
        </is>
      </c>
      <c r="C1073" t="inlineStr">
        <is>
          <t>Prio Tigris</t>
        </is>
      </c>
      <c r="D1073" t="inlineStr">
        <is>
          <t>Peregrino</t>
        </is>
      </c>
      <c r="E1073" t="inlineStr">
        <is>
          <t>Mandril de gas lift</t>
        </is>
      </c>
      <c r="F1073" t="inlineStr">
        <is>
          <t>Amostral</t>
        </is>
      </c>
      <c r="G1073" s="8" t="n">
        <v>166238.9</v>
      </c>
      <c r="H1073" s="8" t="n">
        <v>166238.9</v>
      </c>
      <c r="I1073" s="8">
        <f>G1073-H1073</f>
        <v/>
      </c>
      <c r="J1073" s="11">
        <f>IF(G1073=0,0,MIN(1,I1073/G1073))</f>
        <v/>
      </c>
    </row>
    <row r="1074">
      <c r="A1074" t="inlineStr">
        <is>
          <t>IMB0359209</t>
        </is>
      </c>
      <c r="B1074" t="inlineStr">
        <is>
          <t>Material poços</t>
        </is>
      </c>
      <c r="C1074" t="inlineStr">
        <is>
          <t>Prio Bravo</t>
        </is>
      </c>
      <c r="D1074" t="inlineStr">
        <is>
          <t>Polvo &amp; TBMT</t>
        </is>
      </c>
      <c r="E1074" t="inlineStr">
        <is>
          <t>Suspensor de coluna</t>
        </is>
      </c>
      <c r="F1074" t="inlineStr">
        <is>
          <t>Amostral</t>
        </is>
      </c>
      <c r="G1074" s="8" t="n">
        <v>28043.66</v>
      </c>
      <c r="H1074" s="8" t="n">
        <v>28043.66</v>
      </c>
      <c r="I1074" s="8">
        <f>G1074-H1074</f>
        <v/>
      </c>
      <c r="J1074" s="11">
        <f>IF(G1074=0,0,MIN(1,I1074/G1074))</f>
        <v/>
      </c>
    </row>
    <row r="1075">
      <c r="A1075" t="inlineStr">
        <is>
          <t>IMB0360765</t>
        </is>
      </c>
      <c r="B1075" t="inlineStr">
        <is>
          <t>Material poços</t>
        </is>
      </c>
      <c r="C1075" t="inlineStr">
        <is>
          <t>Prio Forte</t>
        </is>
      </c>
      <c r="D1075" t="inlineStr">
        <is>
          <t>Albacora Leste</t>
        </is>
      </c>
      <c r="E1075" t="inlineStr">
        <is>
          <t>Mandril de gas lift</t>
        </is>
      </c>
      <c r="F1075" t="inlineStr">
        <is>
          <t>Amostral</t>
        </is>
      </c>
      <c r="G1075" s="8" t="n">
        <v>21315.41</v>
      </c>
      <c r="H1075" s="8" t="n">
        <v>21315.41</v>
      </c>
      <c r="I1075" s="8">
        <f>G1075-H1075</f>
        <v/>
      </c>
      <c r="J1075" s="11">
        <f>IF(G1075=0,0,MIN(1,I1075/G1075))</f>
        <v/>
      </c>
    </row>
    <row r="1076">
      <c r="A1076" t="inlineStr">
        <is>
          <t>IMB0362410</t>
        </is>
      </c>
      <c r="B1076" t="inlineStr">
        <is>
          <t>Material poços</t>
        </is>
      </c>
      <c r="C1076" t="inlineStr">
        <is>
          <t>Prio Bravo</t>
        </is>
      </c>
      <c r="D1076" t="inlineStr">
        <is>
          <t>Polvo &amp; TBMT</t>
        </is>
      </c>
      <c r="E1076" t="inlineStr">
        <is>
          <t>Cimento classe G (lote)</t>
        </is>
      </c>
      <c r="F1076" t="inlineStr">
        <is>
          <t>Amostral</t>
        </is>
      </c>
      <c r="G1076" s="8" t="n">
        <v>44801.72</v>
      </c>
      <c r="H1076" s="8" t="n">
        <v>44801.72</v>
      </c>
      <c r="I1076" s="8">
        <f>G1076-H1076</f>
        <v/>
      </c>
      <c r="J1076" s="11">
        <f>IF(G1076=0,0,MIN(1,I1076/G1076))</f>
        <v/>
      </c>
    </row>
    <row r="1077">
      <c r="A1077" t="inlineStr">
        <is>
          <t>IMB0364097</t>
        </is>
      </c>
      <c r="B1077" t="inlineStr">
        <is>
          <t>Material poços</t>
        </is>
      </c>
      <c r="C1077" t="inlineStr">
        <is>
          <t>Prio Bravo</t>
        </is>
      </c>
      <c r="D1077" t="inlineStr">
        <is>
          <t>Polvo &amp; TBMT</t>
        </is>
      </c>
      <c r="E1077" t="inlineStr">
        <is>
          <t>Mandril de gas lift</t>
        </is>
      </c>
      <c r="F1077" t="inlineStr">
        <is>
          <t>Amostral</t>
        </is>
      </c>
      <c r="G1077" s="8" t="n">
        <v>37674.91</v>
      </c>
      <c r="H1077" s="8" t="n">
        <v>37674.91</v>
      </c>
      <c r="I1077" s="8">
        <f>G1077-H1077</f>
        <v/>
      </c>
      <c r="J1077" s="11">
        <f>IF(G1077=0,0,MIN(1,I1077/G1077))</f>
        <v/>
      </c>
    </row>
    <row r="1078">
      <c r="A1078" t="inlineStr">
        <is>
          <t>IMB0365715</t>
        </is>
      </c>
      <c r="B1078" t="inlineStr">
        <is>
          <t>Material poços</t>
        </is>
      </c>
      <c r="C1078" t="inlineStr">
        <is>
          <t>Prio Forte</t>
        </is>
      </c>
      <c r="D1078" t="inlineStr">
        <is>
          <t>Albacora Leste</t>
        </is>
      </c>
      <c r="E1078" t="inlineStr">
        <is>
          <t>Telas de contenção de areia</t>
        </is>
      </c>
      <c r="F1078" t="inlineStr">
        <is>
          <t>Amostral</t>
        </is>
      </c>
      <c r="G1078" s="8" t="n">
        <v>51191.52</v>
      </c>
      <c r="H1078" s="8" t="n">
        <v>51191.52</v>
      </c>
      <c r="I1078" s="8">
        <f>G1078-H1078</f>
        <v/>
      </c>
      <c r="J1078" s="11">
        <f>IF(G1078=0,0,MIN(1,I1078/G1078))</f>
        <v/>
      </c>
    </row>
    <row r="1079">
      <c r="A1079" t="inlineStr">
        <is>
          <t>IMB0367373</t>
        </is>
      </c>
      <c r="B1079" t="inlineStr">
        <is>
          <t>Material poços</t>
        </is>
      </c>
      <c r="C1079" t="inlineStr">
        <is>
          <t>Prio Forte</t>
        </is>
      </c>
      <c r="D1079" t="inlineStr">
        <is>
          <t>Frade</t>
        </is>
      </c>
      <c r="E1079" t="inlineStr">
        <is>
          <t>Packer de produção</t>
        </is>
      </c>
      <c r="F1079" t="inlineStr">
        <is>
          <t>Amostral</t>
        </is>
      </c>
      <c r="G1079" s="8" t="n">
        <v>42906.99</v>
      </c>
      <c r="H1079" s="8" t="n">
        <v>42906.99</v>
      </c>
      <c r="I1079" s="8">
        <f>G1079-H1079</f>
        <v/>
      </c>
      <c r="J1079" s="11">
        <f>IF(G1079=0,0,MIN(1,I1079/G1079))</f>
        <v/>
      </c>
    </row>
    <row r="1080">
      <c r="A1080" t="inlineStr">
        <is>
          <t>IMB0369028</t>
        </is>
      </c>
      <c r="B1080" t="inlineStr">
        <is>
          <t>Material poços</t>
        </is>
      </c>
      <c r="C1080" t="inlineStr">
        <is>
          <t>Prio Bravo</t>
        </is>
      </c>
      <c r="D1080" t="inlineStr">
        <is>
          <t>Polvo &amp; TBMT</t>
        </is>
      </c>
      <c r="E1080" t="inlineStr">
        <is>
          <t>Fluido de perfuração base sintética (lote)</t>
        </is>
      </c>
      <c r="F1080" t="inlineStr">
        <is>
          <t>Amostral</t>
        </is>
      </c>
      <c r="G1080" s="8" t="n">
        <v>16684.84</v>
      </c>
      <c r="H1080" s="8" t="n">
        <v>16684.84</v>
      </c>
      <c r="I1080" s="8">
        <f>G1080-H1080</f>
        <v/>
      </c>
      <c r="J1080" s="11">
        <f>IF(G1080=0,0,MIN(1,I1080/G1080))</f>
        <v/>
      </c>
    </row>
    <row r="1081">
      <c r="A1081" t="inlineStr">
        <is>
          <t>IMB0370616</t>
        </is>
      </c>
      <c r="B1081" t="inlineStr">
        <is>
          <t>Material poços</t>
        </is>
      </c>
      <c r="C1081" t="inlineStr">
        <is>
          <t>Prio Bravo</t>
        </is>
      </c>
      <c r="D1081" t="inlineStr">
        <is>
          <t>Polvo &amp; TBMT</t>
        </is>
      </c>
      <c r="E1081" t="inlineStr">
        <is>
          <t>Fluido de perfuração base sintética (lote)</t>
        </is>
      </c>
      <c r="F1081" t="inlineStr">
        <is>
          <t>Amostral</t>
        </is>
      </c>
      <c r="G1081" s="8" t="n">
        <v>64443.05</v>
      </c>
      <c r="H1081" s="8" t="n">
        <v>64443.05</v>
      </c>
      <c r="I1081" s="8">
        <f>G1081-H1081</f>
        <v/>
      </c>
      <c r="J1081" s="11">
        <f>IF(G1081=0,0,MIN(1,I1081/G1081))</f>
        <v/>
      </c>
    </row>
    <row r="1082">
      <c r="A1082" t="inlineStr">
        <is>
          <t>IMB0372325</t>
        </is>
      </c>
      <c r="B1082" t="inlineStr">
        <is>
          <t>Material poços</t>
        </is>
      </c>
      <c r="C1082" t="inlineStr">
        <is>
          <t>Prio Tigris</t>
        </is>
      </c>
      <c r="D1082" t="inlineStr">
        <is>
          <t>Peregrino</t>
        </is>
      </c>
      <c r="E1082" t="inlineStr">
        <is>
          <t>Conector submarino</t>
        </is>
      </c>
      <c r="F1082" t="inlineStr">
        <is>
          <t>Amostral</t>
        </is>
      </c>
      <c r="G1082" s="8" t="n">
        <v>130504.89</v>
      </c>
      <c r="H1082" s="8" t="n">
        <v>130504.89</v>
      </c>
      <c r="I1082" s="8">
        <f>G1082-H1082</f>
        <v/>
      </c>
      <c r="J1082" s="11">
        <f>IF(G1082=0,0,MIN(1,I1082/G1082))</f>
        <v/>
      </c>
    </row>
    <row r="1083">
      <c r="A1083" t="inlineStr">
        <is>
          <t>IMB0373941</t>
        </is>
      </c>
      <c r="B1083" t="inlineStr">
        <is>
          <t>Material poços</t>
        </is>
      </c>
      <c r="C1083" t="inlineStr">
        <is>
          <t>Prio Bravo</t>
        </is>
      </c>
      <c r="D1083" t="inlineStr">
        <is>
          <t>Polvo &amp; TBMT</t>
        </is>
      </c>
      <c r="E1083" t="inlineStr">
        <is>
          <t>Mandril de gas lift</t>
        </is>
      </c>
      <c r="F1083" t="inlineStr">
        <is>
          <t>Amostral</t>
        </is>
      </c>
      <c r="G1083" s="8" t="n">
        <v>8189.26</v>
      </c>
      <c r="H1083" s="8" t="n">
        <v>8189.26</v>
      </c>
      <c r="I1083" s="8">
        <f>G1083-H1083</f>
        <v/>
      </c>
      <c r="J1083" s="11">
        <f>IF(G1083=0,0,MIN(1,I1083/G1083))</f>
        <v/>
      </c>
    </row>
    <row r="1084">
      <c r="A1084" t="inlineStr">
        <is>
          <t>IMB0375671</t>
        </is>
      </c>
      <c r="B1084" t="inlineStr">
        <is>
          <t>Material poços</t>
        </is>
      </c>
      <c r="C1084" t="inlineStr">
        <is>
          <t>Prio Forte</t>
        </is>
      </c>
      <c r="D1084" t="inlineStr">
        <is>
          <t>Albacora Leste</t>
        </is>
      </c>
      <c r="E1084" t="inlineStr">
        <is>
          <t>Fluido de perfuração base sintética (lote)</t>
        </is>
      </c>
      <c r="F1084" t="inlineStr">
        <is>
          <t>Amostral</t>
        </is>
      </c>
      <c r="G1084" s="8" t="n">
        <v>13607.53</v>
      </c>
      <c r="H1084" s="8" t="n">
        <v>13607.53</v>
      </c>
      <c r="I1084" s="8">
        <f>G1084-H1084</f>
        <v/>
      </c>
      <c r="J1084" s="11">
        <f>IF(G1084=0,0,MIN(1,I1084/G1084))</f>
        <v/>
      </c>
    </row>
    <row r="1085">
      <c r="A1085" t="inlineStr">
        <is>
          <t>IMB0377346</t>
        </is>
      </c>
      <c r="B1085" t="inlineStr">
        <is>
          <t>Material poços</t>
        </is>
      </c>
      <c r="C1085" t="inlineStr">
        <is>
          <t>Prio Tigris</t>
        </is>
      </c>
      <c r="D1085" t="inlineStr">
        <is>
          <t>Peregrino</t>
        </is>
      </c>
      <c r="E1085" t="inlineStr">
        <is>
          <t>Packer de produção</t>
        </is>
      </c>
      <c r="F1085" t="inlineStr">
        <is>
          <t>Amostral</t>
        </is>
      </c>
      <c r="G1085" s="8" t="n">
        <v>40245.84</v>
      </c>
      <c r="H1085" s="8" t="n">
        <v>40245.84</v>
      </c>
      <c r="I1085" s="8">
        <f>G1085-H1085</f>
        <v/>
      </c>
      <c r="J1085" s="11">
        <f>IF(G1085=0,0,MIN(1,I1085/G1085))</f>
        <v/>
      </c>
    </row>
    <row r="1086">
      <c r="A1086" t="inlineStr">
        <is>
          <t>IMB0379003</t>
        </is>
      </c>
      <c r="B1086" t="inlineStr">
        <is>
          <t>Material poços</t>
        </is>
      </c>
      <c r="C1086" t="inlineStr">
        <is>
          <t>Prio Bravo</t>
        </is>
      </c>
      <c r="D1086" t="inlineStr">
        <is>
          <t>Polvo &amp; TBMT</t>
        </is>
      </c>
      <c r="E1086" t="inlineStr">
        <is>
          <t>Tubo de produção 4 1/2" (lote)</t>
        </is>
      </c>
      <c r="F1086" t="inlineStr">
        <is>
          <t>Amostral</t>
        </is>
      </c>
      <c r="G1086" s="8" t="n">
        <v>23328.92</v>
      </c>
      <c r="H1086" s="8" t="n">
        <v>23328.92</v>
      </c>
      <c r="I1086" s="8">
        <f>G1086-H1086</f>
        <v/>
      </c>
      <c r="J1086" s="11">
        <f>IF(G1086=0,0,MIN(1,I1086/G1086))</f>
        <v/>
      </c>
    </row>
    <row r="1087">
      <c r="A1087" t="inlineStr">
        <is>
          <t>IMB0380778</t>
        </is>
      </c>
      <c r="B1087" t="inlineStr">
        <is>
          <t>Material poços</t>
        </is>
      </c>
      <c r="C1087" t="inlineStr">
        <is>
          <t>Prio Bravo</t>
        </is>
      </c>
      <c r="D1087" t="inlineStr">
        <is>
          <t>Polvo &amp; TBMT</t>
        </is>
      </c>
      <c r="E1087" t="inlineStr">
        <is>
          <t>Cimento classe G (lote)</t>
        </is>
      </c>
      <c r="F1087" t="inlineStr">
        <is>
          <t>Amostral</t>
        </is>
      </c>
      <c r="G1087" s="8" t="n">
        <v>16671.17</v>
      </c>
      <c r="H1087" s="8" t="n">
        <v>16671.17</v>
      </c>
      <c r="I1087" s="8">
        <f>G1087-H1087</f>
        <v/>
      </c>
      <c r="J1087" s="11">
        <f>IF(G1087=0,0,MIN(1,I1087/G1087))</f>
        <v/>
      </c>
    </row>
    <row r="1088">
      <c r="A1088" t="inlineStr">
        <is>
          <t>IMB0382362</t>
        </is>
      </c>
      <c r="B1088" t="inlineStr">
        <is>
          <t>Material poços</t>
        </is>
      </c>
      <c r="C1088" t="inlineStr">
        <is>
          <t>Prio Forte</t>
        </is>
      </c>
      <c r="D1088" t="inlineStr">
        <is>
          <t>Wahoo</t>
        </is>
      </c>
      <c r="E1088" t="inlineStr">
        <is>
          <t>Tubo de produção 4 1/2" (lote)</t>
        </is>
      </c>
      <c r="F1088" t="inlineStr">
        <is>
          <t>Amostral</t>
        </is>
      </c>
      <c r="G1088" s="8" t="n">
        <v>18978.71</v>
      </c>
      <c r="H1088" s="8" t="n">
        <v>18978.71</v>
      </c>
      <c r="I1088" s="8">
        <f>G1088-H1088</f>
        <v/>
      </c>
      <c r="J1088" s="11">
        <f>IF(G1088=0,0,MIN(1,I1088/G1088))</f>
        <v/>
      </c>
    </row>
    <row r="1089">
      <c r="A1089" t="inlineStr">
        <is>
          <t>IMB0384026</t>
        </is>
      </c>
      <c r="B1089" t="inlineStr">
        <is>
          <t>Material poços</t>
        </is>
      </c>
      <c r="C1089" t="inlineStr">
        <is>
          <t>Prio Bravo</t>
        </is>
      </c>
      <c r="D1089" t="inlineStr">
        <is>
          <t>Polvo &amp; TBMT</t>
        </is>
      </c>
      <c r="E1089" t="inlineStr">
        <is>
          <t>Tubo de revestimento 9 5/8" (lote)</t>
        </is>
      </c>
      <c r="F1089" t="inlineStr">
        <is>
          <t>Amostral</t>
        </is>
      </c>
      <c r="G1089" s="8" t="n">
        <v>47913.7</v>
      </c>
      <c r="H1089" s="8" t="n">
        <v>47913.7</v>
      </c>
      <c r="I1089" s="8">
        <f>G1089-H1089</f>
        <v/>
      </c>
      <c r="J1089" s="11">
        <f>IF(G1089=0,0,MIN(1,I1089/G1089))</f>
        <v/>
      </c>
    </row>
    <row r="1090">
      <c r="A1090" t="inlineStr">
        <is>
          <t>IMB0385617</t>
        </is>
      </c>
      <c r="B1090" t="inlineStr">
        <is>
          <t>Material poços</t>
        </is>
      </c>
      <c r="C1090" t="inlineStr">
        <is>
          <t>Prio Forte</t>
        </is>
      </c>
      <c r="D1090" t="inlineStr">
        <is>
          <t>Wahoo</t>
        </is>
      </c>
      <c r="E1090" t="inlineStr">
        <is>
          <t>Válvula DHSV</t>
        </is>
      </c>
      <c r="F1090" t="inlineStr">
        <is>
          <t>Amostral</t>
        </is>
      </c>
      <c r="G1090" s="8" t="n">
        <v>39732.86</v>
      </c>
      <c r="H1090" s="8" t="n">
        <v>39732.86</v>
      </c>
      <c r="I1090" s="8">
        <f>G1090-H1090</f>
        <v/>
      </c>
      <c r="J1090" s="11">
        <f>IF(G1090=0,0,MIN(1,I1090/G1090))</f>
        <v/>
      </c>
    </row>
    <row r="1091">
      <c r="A1091" t="inlineStr">
        <is>
          <t>IMB0387424</t>
        </is>
      </c>
      <c r="B1091" t="inlineStr">
        <is>
          <t>Material poços</t>
        </is>
      </c>
      <c r="C1091" t="inlineStr">
        <is>
          <t>Prio Bravo</t>
        </is>
      </c>
      <c r="D1091" t="inlineStr">
        <is>
          <t>Polvo &amp; TBMT</t>
        </is>
      </c>
      <c r="E1091" t="inlineStr">
        <is>
          <t>Cabeça de poço submarina</t>
        </is>
      </c>
      <c r="F1091" t="inlineStr">
        <is>
          <t>Amostral</t>
        </is>
      </c>
      <c r="G1091" s="8" t="n">
        <v>146896.25</v>
      </c>
      <c r="H1091" s="8" t="n">
        <v>146896.25</v>
      </c>
      <c r="I1091" s="8">
        <f>G1091-H1091</f>
        <v/>
      </c>
      <c r="J1091" s="11">
        <f>IF(G1091=0,0,MIN(1,I1091/G1091))</f>
        <v/>
      </c>
    </row>
    <row r="1092">
      <c r="A1092" t="inlineStr">
        <is>
          <t>IMB0389006</t>
        </is>
      </c>
      <c r="B1092" t="inlineStr">
        <is>
          <t>Material poços</t>
        </is>
      </c>
      <c r="C1092" t="inlineStr">
        <is>
          <t>Prio Tigris</t>
        </is>
      </c>
      <c r="D1092" t="inlineStr">
        <is>
          <t>Peregrino</t>
        </is>
      </c>
      <c r="E1092" t="inlineStr">
        <is>
          <t>Telas de contenção de areia</t>
        </is>
      </c>
      <c r="F1092" t="inlineStr">
        <is>
          <t>Amostral</t>
        </is>
      </c>
      <c r="G1092" s="8" t="n">
        <v>5680.04</v>
      </c>
      <c r="H1092" s="8" t="n">
        <v>5680.04</v>
      </c>
      <c r="I1092" s="8">
        <f>G1092-H1092</f>
        <v/>
      </c>
      <c r="J1092" s="11">
        <f>IF(G1092=0,0,MIN(1,I1092/G1092))</f>
        <v/>
      </c>
    </row>
    <row r="1093">
      <c r="A1093" t="inlineStr">
        <is>
          <t>IMB0390779</t>
        </is>
      </c>
      <c r="B1093" t="inlineStr">
        <is>
          <t>Material poços</t>
        </is>
      </c>
      <c r="C1093" t="inlineStr">
        <is>
          <t>Prio Forte</t>
        </is>
      </c>
      <c r="D1093" t="inlineStr">
        <is>
          <t>Wahoo</t>
        </is>
      </c>
      <c r="E1093" t="inlineStr">
        <is>
          <t>Válvula DHSV</t>
        </is>
      </c>
      <c r="F1093" t="inlineStr">
        <is>
          <t>Amostral</t>
        </is>
      </c>
      <c r="G1093" s="8" t="n">
        <v>5704.99</v>
      </c>
      <c r="H1093" s="8" t="n">
        <v>5704.99</v>
      </c>
      <c r="I1093" s="8">
        <f>G1093-H1093</f>
        <v/>
      </c>
      <c r="J1093" s="11">
        <f>IF(G1093=0,0,MIN(1,I1093/G1093))</f>
        <v/>
      </c>
    </row>
    <row r="1094">
      <c r="A1094" t="inlineStr">
        <is>
          <t>IMB0392525</t>
        </is>
      </c>
      <c r="B1094" t="inlineStr">
        <is>
          <t>Material poços</t>
        </is>
      </c>
      <c r="C1094" t="inlineStr">
        <is>
          <t>Prio Bravo</t>
        </is>
      </c>
      <c r="D1094" t="inlineStr">
        <is>
          <t>Polvo &amp; TBMT</t>
        </is>
      </c>
      <c r="E1094" t="inlineStr">
        <is>
          <t>Telas de contenção de areia</t>
        </is>
      </c>
      <c r="F1094" t="inlineStr">
        <is>
          <t>Amostral</t>
        </is>
      </c>
      <c r="G1094" s="8" t="n">
        <v>235014.75</v>
      </c>
      <c r="H1094" s="8" t="n">
        <v>235014.75</v>
      </c>
      <c r="I1094" s="8">
        <f>G1094-H1094</f>
        <v/>
      </c>
      <c r="J1094" s="11">
        <f>IF(G1094=0,0,MIN(1,I1094/G1094))</f>
        <v/>
      </c>
    </row>
    <row r="1095">
      <c r="A1095" t="inlineStr">
        <is>
          <t>IMB0394228</t>
        </is>
      </c>
      <c r="B1095" t="inlineStr">
        <is>
          <t>Material poços</t>
        </is>
      </c>
      <c r="C1095" t="inlineStr">
        <is>
          <t>Prio Forte</t>
        </is>
      </c>
      <c r="D1095" t="inlineStr">
        <is>
          <t>Albacora Leste</t>
        </is>
      </c>
      <c r="E1095" t="inlineStr">
        <is>
          <t>Cabeça de poço submarina</t>
        </is>
      </c>
      <c r="F1095" t="inlineStr">
        <is>
          <t>Amostral</t>
        </is>
      </c>
      <c r="G1095" s="8" t="n">
        <v>19738.27</v>
      </c>
      <c r="H1095" s="8" t="n">
        <v>19738.27</v>
      </c>
      <c r="I1095" s="8">
        <f>G1095-H1095</f>
        <v/>
      </c>
      <c r="J1095" s="11">
        <f>IF(G1095=0,0,MIN(1,I1095/G1095))</f>
        <v/>
      </c>
    </row>
    <row r="1096">
      <c r="A1096" t="inlineStr">
        <is>
          <t>IMB0396048</t>
        </is>
      </c>
      <c r="B1096" t="inlineStr">
        <is>
          <t>Material poços</t>
        </is>
      </c>
      <c r="C1096" t="inlineStr">
        <is>
          <t>Prio Bravo</t>
        </is>
      </c>
      <c r="D1096" t="inlineStr">
        <is>
          <t>Polvo &amp; TBMT</t>
        </is>
      </c>
      <c r="E1096" t="inlineStr">
        <is>
          <t>Mandril de gas lift</t>
        </is>
      </c>
      <c r="F1096" t="inlineStr">
        <is>
          <t>Amostral</t>
        </is>
      </c>
      <c r="G1096" s="8" t="n">
        <v>33479.63</v>
      </c>
      <c r="H1096" s="8" t="n">
        <v>33479.63</v>
      </c>
      <c r="I1096" s="8">
        <f>G1096-H1096</f>
        <v/>
      </c>
      <c r="J1096" s="11">
        <f>IF(G1096=0,0,MIN(1,I1096/G1096))</f>
        <v/>
      </c>
    </row>
    <row r="1097">
      <c r="A1097" t="inlineStr">
        <is>
          <t>IMB0397622</t>
        </is>
      </c>
      <c r="B1097" t="inlineStr">
        <is>
          <t>Material poços</t>
        </is>
      </c>
      <c r="C1097" t="inlineStr">
        <is>
          <t>Prio Tigris</t>
        </is>
      </c>
      <c r="D1097" t="inlineStr">
        <is>
          <t>Peregrino</t>
        </is>
      </c>
      <c r="E1097" t="inlineStr">
        <is>
          <t>Cabeça de poço submarina</t>
        </is>
      </c>
      <c r="F1097" t="inlineStr">
        <is>
          <t>Amostral</t>
        </is>
      </c>
      <c r="G1097" s="8" t="n">
        <v>72577.98</v>
      </c>
      <c r="H1097" s="8" t="n">
        <v>72577.98</v>
      </c>
      <c r="I1097" s="8">
        <f>G1097-H1097</f>
        <v/>
      </c>
      <c r="J1097" s="11">
        <f>IF(G1097=0,0,MIN(1,I1097/G1097))</f>
        <v/>
      </c>
    </row>
    <row r="1098">
      <c r="A1098" t="inlineStr">
        <is>
          <t>IMB0399256</t>
        </is>
      </c>
      <c r="B1098" t="inlineStr">
        <is>
          <t>Material poços</t>
        </is>
      </c>
      <c r="C1098" t="inlineStr">
        <is>
          <t>Prio Tigris</t>
        </is>
      </c>
      <c r="D1098" t="inlineStr">
        <is>
          <t>Peregrino</t>
        </is>
      </c>
      <c r="E1098" t="inlineStr">
        <is>
          <t>Conector submarino</t>
        </is>
      </c>
      <c r="F1098" t="inlineStr">
        <is>
          <t>Amostral</t>
        </is>
      </c>
      <c r="G1098" s="8" t="n">
        <v>108480.72</v>
      </c>
      <c r="H1098" s="8" t="n">
        <v>108480.72</v>
      </c>
      <c r="I1098" s="8">
        <f>G1098-H1098</f>
        <v/>
      </c>
      <c r="J1098" s="11">
        <f>IF(G1098=0,0,MIN(1,I1098/G1098))</f>
        <v/>
      </c>
    </row>
    <row r="1099">
      <c r="A1099" t="inlineStr">
        <is>
          <t>IMB0400958</t>
        </is>
      </c>
      <c r="B1099" t="inlineStr">
        <is>
          <t>Material poços</t>
        </is>
      </c>
      <c r="C1099" t="inlineStr">
        <is>
          <t>Prio Forte</t>
        </is>
      </c>
      <c r="D1099" t="inlineStr">
        <is>
          <t>Frade</t>
        </is>
      </c>
      <c r="E1099" t="inlineStr">
        <is>
          <t>Mandril de gas lift</t>
        </is>
      </c>
      <c r="F1099" t="inlineStr">
        <is>
          <t>Amostral</t>
        </is>
      </c>
      <c r="G1099" s="8" t="n">
        <v>463131.49</v>
      </c>
      <c r="H1099" s="8" t="n">
        <v>463131.49</v>
      </c>
      <c r="I1099" s="8">
        <f>G1099-H1099</f>
        <v/>
      </c>
      <c r="J1099" s="11">
        <f>IF(G1099=0,0,MIN(1,I1099/G1099))</f>
        <v/>
      </c>
    </row>
    <row r="1100">
      <c r="A1100" t="inlineStr">
        <is>
          <t>IMB0402370</t>
        </is>
      </c>
      <c r="B1100" t="inlineStr">
        <is>
          <t>Material poços</t>
        </is>
      </c>
      <c r="C1100" t="inlineStr">
        <is>
          <t>Prio Tigris</t>
        </is>
      </c>
      <c r="D1100" t="inlineStr">
        <is>
          <t>Peregrino</t>
        </is>
      </c>
      <c r="E1100" t="inlineStr">
        <is>
          <t>Tubo de produção 4 1/2" (lote)</t>
        </is>
      </c>
      <c r="F1100" t="inlineStr">
        <is>
          <t>Amostral</t>
        </is>
      </c>
      <c r="G1100" s="8" t="n">
        <v>21140.8</v>
      </c>
      <c r="H1100" s="8" t="n">
        <v>21140.8</v>
      </c>
      <c r="I1100" s="8">
        <f>G1100-H1100</f>
        <v/>
      </c>
      <c r="J1100" s="11">
        <f>IF(G1100=0,0,MIN(1,I1100/G1100))</f>
        <v/>
      </c>
    </row>
    <row r="1101">
      <c r="A1101" t="inlineStr">
        <is>
          <t>IMB0404043</t>
        </is>
      </c>
      <c r="B1101" t="inlineStr">
        <is>
          <t>Material poços</t>
        </is>
      </c>
      <c r="C1101" t="inlineStr">
        <is>
          <t>Prio Forte</t>
        </is>
      </c>
      <c r="D1101" t="inlineStr">
        <is>
          <t>Albacora Leste</t>
        </is>
      </c>
      <c r="E1101" t="inlineStr">
        <is>
          <t>Tubo de produção 4 1/2" (lote)</t>
        </is>
      </c>
      <c r="F1101" t="inlineStr">
        <is>
          <t>Amostral</t>
        </is>
      </c>
      <c r="G1101" s="8" t="n">
        <v>74603.42999999999</v>
      </c>
      <c r="H1101" s="8" t="n">
        <v>74603.42999999999</v>
      </c>
      <c r="I1101" s="8">
        <f>G1101-H1101</f>
        <v/>
      </c>
      <c r="J1101" s="11">
        <f>IF(G1101=0,0,MIN(1,I1101/G1101))</f>
        <v/>
      </c>
    </row>
    <row r="1102">
      <c r="A1102" t="inlineStr">
        <is>
          <t>IMB0405807</t>
        </is>
      </c>
      <c r="B1102" t="inlineStr">
        <is>
          <t>Material poços</t>
        </is>
      </c>
      <c r="C1102" t="inlineStr">
        <is>
          <t>Prio Forte</t>
        </is>
      </c>
      <c r="D1102" t="inlineStr">
        <is>
          <t>Wahoo</t>
        </is>
      </c>
      <c r="E1102" t="inlineStr">
        <is>
          <t>Tubo de produção 4 1/2" (lote)</t>
        </is>
      </c>
      <c r="F1102" t="inlineStr">
        <is>
          <t>Amostral</t>
        </is>
      </c>
      <c r="G1102" s="8" t="n">
        <v>33332.74</v>
      </c>
      <c r="H1102" s="8" t="n">
        <v>33332.74</v>
      </c>
      <c r="I1102" s="8">
        <f>G1102-H1102</f>
        <v/>
      </c>
      <c r="J1102" s="11">
        <f>IF(G1102=0,0,MIN(1,I1102/G1102))</f>
        <v/>
      </c>
    </row>
    <row r="1103">
      <c r="A1103" t="inlineStr">
        <is>
          <t>IMB0407474</t>
        </is>
      </c>
      <c r="B1103" t="inlineStr">
        <is>
          <t>Material poços</t>
        </is>
      </c>
      <c r="C1103" t="inlineStr">
        <is>
          <t>Prio Forte</t>
        </is>
      </c>
      <c r="D1103" t="inlineStr">
        <is>
          <t>Wahoo</t>
        </is>
      </c>
      <c r="E1103" t="inlineStr">
        <is>
          <t>Broca PDC 12 1/4"</t>
        </is>
      </c>
      <c r="F1103" t="inlineStr">
        <is>
          <t>Amostral</t>
        </is>
      </c>
      <c r="G1103" s="8" t="n">
        <v>62439.32</v>
      </c>
      <c r="H1103" s="8" t="n">
        <v>62439.32</v>
      </c>
      <c r="I1103" s="8">
        <f>G1103-H1103</f>
        <v/>
      </c>
      <c r="J1103" s="11">
        <f>IF(G1103=0,0,MIN(1,I1103/G1103))</f>
        <v/>
      </c>
    </row>
    <row r="1104">
      <c r="A1104" t="inlineStr">
        <is>
          <t>IMB0409164</t>
        </is>
      </c>
      <c r="B1104" t="inlineStr">
        <is>
          <t>Material poços</t>
        </is>
      </c>
      <c r="C1104" t="inlineStr">
        <is>
          <t>Prio Forte</t>
        </is>
      </c>
      <c r="D1104" t="inlineStr">
        <is>
          <t>Frade</t>
        </is>
      </c>
      <c r="E1104" t="inlineStr">
        <is>
          <t>Tubo de revestimento 9 5/8" (lote)</t>
        </is>
      </c>
      <c r="F1104" t="inlineStr">
        <is>
          <t>Amostral</t>
        </is>
      </c>
      <c r="G1104" s="8" t="n">
        <v>61152.96</v>
      </c>
      <c r="H1104" s="8" t="n">
        <v>61152.96</v>
      </c>
      <c r="I1104" s="8">
        <f>G1104-H1104</f>
        <v/>
      </c>
      <c r="J1104" s="11">
        <f>IF(G1104=0,0,MIN(1,I1104/G1104))</f>
        <v/>
      </c>
    </row>
    <row r="1105">
      <c r="A1105" t="inlineStr">
        <is>
          <t>IMB0410948</t>
        </is>
      </c>
      <c r="B1105" t="inlineStr">
        <is>
          <t>Material poços</t>
        </is>
      </c>
      <c r="C1105" t="inlineStr">
        <is>
          <t>Prio Forte</t>
        </is>
      </c>
      <c r="D1105" t="inlineStr">
        <is>
          <t>Wahoo</t>
        </is>
      </c>
      <c r="E1105" t="inlineStr">
        <is>
          <t>Mandril de gas lift</t>
        </is>
      </c>
      <c r="F1105" t="inlineStr">
        <is>
          <t>Amostral</t>
        </is>
      </c>
      <c r="G1105" s="8" t="n">
        <v>11845.91</v>
      </c>
      <c r="H1105" s="8" t="n">
        <v>11845.91</v>
      </c>
      <c r="I1105" s="8">
        <f>G1105-H1105</f>
        <v/>
      </c>
      <c r="J1105" s="11">
        <f>IF(G1105=0,0,MIN(1,I1105/G1105))</f>
        <v/>
      </c>
    </row>
    <row r="1106">
      <c r="A1106" t="inlineStr">
        <is>
          <t>IMB0412702</t>
        </is>
      </c>
      <c r="B1106" t="inlineStr">
        <is>
          <t>Material poços</t>
        </is>
      </c>
      <c r="C1106" t="inlineStr">
        <is>
          <t>Prio Forte</t>
        </is>
      </c>
      <c r="D1106" t="inlineStr">
        <is>
          <t>Albacora Leste</t>
        </is>
      </c>
      <c r="E1106" t="inlineStr">
        <is>
          <t>Broca PDC 12 1/4"</t>
        </is>
      </c>
      <c r="F1106" t="inlineStr">
        <is>
          <t>Amostral</t>
        </is>
      </c>
      <c r="G1106" s="8" t="n">
        <v>18005.97</v>
      </c>
      <c r="H1106" s="8" t="n">
        <v>18005.97</v>
      </c>
      <c r="I1106" s="8">
        <f>G1106-H1106</f>
        <v/>
      </c>
      <c r="J1106" s="11">
        <f>IF(G1106=0,0,MIN(1,I1106/G1106))</f>
        <v/>
      </c>
    </row>
    <row r="1107">
      <c r="A1107" t="inlineStr">
        <is>
          <t>IMB0414362</t>
        </is>
      </c>
      <c r="B1107" t="inlineStr">
        <is>
          <t>Material poços</t>
        </is>
      </c>
      <c r="C1107" t="inlineStr">
        <is>
          <t>Prio Tigris</t>
        </is>
      </c>
      <c r="D1107" t="inlineStr">
        <is>
          <t>Peregrino</t>
        </is>
      </c>
      <c r="E1107" t="inlineStr">
        <is>
          <t>Motor de BCS (estoque)</t>
        </is>
      </c>
      <c r="F1107" t="inlineStr">
        <is>
          <t>Amostral</t>
        </is>
      </c>
      <c r="G1107" s="8" t="n">
        <v>72484.89</v>
      </c>
      <c r="H1107" s="8" t="n">
        <v>72484.89</v>
      </c>
      <c r="I1107" s="8">
        <f>G1107-H1107</f>
        <v/>
      </c>
      <c r="J1107" s="11">
        <f>IF(G1107=0,0,MIN(1,I1107/G1107))</f>
        <v/>
      </c>
    </row>
    <row r="1108">
      <c r="A1108" t="inlineStr">
        <is>
          <t>IMB0415827</t>
        </is>
      </c>
      <c r="B1108" t="inlineStr">
        <is>
          <t>Material poços</t>
        </is>
      </c>
      <c r="C1108" t="inlineStr">
        <is>
          <t>Prio Forte</t>
        </is>
      </c>
      <c r="D1108" t="inlineStr">
        <is>
          <t>Frade</t>
        </is>
      </c>
      <c r="E1108" t="inlineStr">
        <is>
          <t>Cabeça de poço submarina</t>
        </is>
      </c>
      <c r="F1108" t="inlineStr">
        <is>
          <t>Amostral</t>
        </is>
      </c>
      <c r="G1108" s="8" t="n">
        <v>5085.22</v>
      </c>
      <c r="H1108" s="8" t="n">
        <v>5085.22</v>
      </c>
      <c r="I1108" s="8">
        <f>G1108-H1108</f>
        <v/>
      </c>
      <c r="J1108" s="11">
        <f>IF(G1108=0,0,MIN(1,I1108/G1108))</f>
        <v/>
      </c>
    </row>
    <row r="1109">
      <c r="A1109" t="inlineStr">
        <is>
          <t>IMB0417454</t>
        </is>
      </c>
      <c r="B1109" t="inlineStr">
        <is>
          <t>Material poços</t>
        </is>
      </c>
      <c r="C1109" t="inlineStr">
        <is>
          <t>Prio Forte</t>
        </is>
      </c>
      <c r="D1109" t="inlineStr">
        <is>
          <t>Frade</t>
        </is>
      </c>
      <c r="E1109" t="inlineStr">
        <is>
          <t>Broca PDC 12 1/4"</t>
        </is>
      </c>
      <c r="F1109" t="inlineStr">
        <is>
          <t>Amostral</t>
        </is>
      </c>
      <c r="G1109" s="8" t="n">
        <v>45693.67</v>
      </c>
      <c r="H1109" s="8" t="n">
        <v>45693.67</v>
      </c>
      <c r="I1109" s="8">
        <f>G1109-H1109</f>
        <v/>
      </c>
      <c r="J1109" s="11">
        <f>IF(G1109=0,0,MIN(1,I1109/G1109))</f>
        <v/>
      </c>
    </row>
    <row r="1110">
      <c r="A1110" t="inlineStr">
        <is>
          <t>IMB0419215</t>
        </is>
      </c>
      <c r="B1110" t="inlineStr">
        <is>
          <t>Material poços</t>
        </is>
      </c>
      <c r="C1110" t="inlineStr">
        <is>
          <t>Prio Tigris</t>
        </is>
      </c>
      <c r="D1110" t="inlineStr">
        <is>
          <t>Peregrino</t>
        </is>
      </c>
      <c r="E1110" t="inlineStr">
        <is>
          <t>Telas de contenção de areia</t>
        </is>
      </c>
      <c r="F1110" t="inlineStr">
        <is>
          <t>Amostral</t>
        </is>
      </c>
      <c r="G1110" s="8" t="n">
        <v>32811.76</v>
      </c>
      <c r="H1110" s="8" t="n">
        <v>32811.76</v>
      </c>
      <c r="I1110" s="8">
        <f>G1110-H1110</f>
        <v/>
      </c>
      <c r="J1110" s="11">
        <f>IF(G1110=0,0,MIN(1,I1110/G1110))</f>
        <v/>
      </c>
    </row>
    <row r="1111">
      <c r="A1111" t="inlineStr">
        <is>
          <t>IMB0420906</t>
        </is>
      </c>
      <c r="B1111" t="inlineStr">
        <is>
          <t>Material poços</t>
        </is>
      </c>
      <c r="C1111" t="inlineStr">
        <is>
          <t>Prio Forte</t>
        </is>
      </c>
      <c r="D1111" t="inlineStr">
        <is>
          <t>Frade</t>
        </is>
      </c>
      <c r="E1111" t="inlineStr">
        <is>
          <t>Tubo de revestimento 9 5/8" (lote)</t>
        </is>
      </c>
      <c r="F1111" t="inlineStr">
        <is>
          <t>Amostral</t>
        </is>
      </c>
      <c r="G1111" s="8" t="n">
        <v>13289.89</v>
      </c>
      <c r="H1111" s="8" t="n">
        <v>13289.89</v>
      </c>
      <c r="I1111" s="8">
        <f>G1111-H1111</f>
        <v/>
      </c>
      <c r="J1111" s="11">
        <f>IF(G1111=0,0,MIN(1,I1111/G1111))</f>
        <v/>
      </c>
    </row>
    <row r="1112">
      <c r="A1112" t="inlineStr">
        <is>
          <t>IMB0422659</t>
        </is>
      </c>
      <c r="B1112" t="inlineStr">
        <is>
          <t>Material poços</t>
        </is>
      </c>
      <c r="C1112" t="inlineStr">
        <is>
          <t>Prio Tigris</t>
        </is>
      </c>
      <c r="D1112" t="inlineStr">
        <is>
          <t>Peregrino</t>
        </is>
      </c>
      <c r="E1112" t="inlineStr">
        <is>
          <t>Válvula DHSV</t>
        </is>
      </c>
      <c r="F1112" t="inlineStr">
        <is>
          <t>Amostral</t>
        </is>
      </c>
      <c r="G1112" s="8" t="n">
        <v>6584.57</v>
      </c>
      <c r="H1112" s="8" t="n">
        <v>6584.57</v>
      </c>
      <c r="I1112" s="8">
        <f>G1112-H1112</f>
        <v/>
      </c>
      <c r="J1112" s="11">
        <f>IF(G1112=0,0,MIN(1,I1112/G1112))</f>
        <v/>
      </c>
    </row>
    <row r="1113">
      <c r="A1113" t="inlineStr">
        <is>
          <t>IMB0424415</t>
        </is>
      </c>
      <c r="B1113" t="inlineStr">
        <is>
          <t>Material poços</t>
        </is>
      </c>
      <c r="C1113" t="inlineStr">
        <is>
          <t>Prio Forte</t>
        </is>
      </c>
      <c r="D1113" t="inlineStr">
        <is>
          <t>Frade</t>
        </is>
      </c>
      <c r="E1113" t="inlineStr">
        <is>
          <t>Suspensor de coluna</t>
        </is>
      </c>
      <c r="F1113" t="inlineStr">
        <is>
          <t>Amostral</t>
        </is>
      </c>
      <c r="G1113" s="8" t="n">
        <v>21994.91</v>
      </c>
      <c r="H1113" s="8" t="n">
        <v>21994.91</v>
      </c>
      <c r="I1113" s="8">
        <f>G1113-H1113</f>
        <v/>
      </c>
      <c r="J1113" s="11">
        <f>IF(G1113=0,0,MIN(1,I1113/G1113))</f>
        <v/>
      </c>
    </row>
    <row r="1114">
      <c r="A1114" t="inlineStr">
        <is>
          <t>IMB0426153</t>
        </is>
      </c>
      <c r="B1114" t="inlineStr">
        <is>
          <t>Material poços</t>
        </is>
      </c>
      <c r="C1114" t="inlineStr">
        <is>
          <t>Prio Bravo</t>
        </is>
      </c>
      <c r="D1114" t="inlineStr">
        <is>
          <t>Polvo &amp; TBMT</t>
        </is>
      </c>
      <c r="E1114" t="inlineStr">
        <is>
          <t>Packer de produção</t>
        </is>
      </c>
      <c r="F1114" t="inlineStr">
        <is>
          <t>Amostral</t>
        </is>
      </c>
      <c r="G1114" s="8" t="n">
        <v>114528.02</v>
      </c>
      <c r="H1114" s="8" t="n">
        <v>114528.02</v>
      </c>
      <c r="I1114" s="8">
        <f>G1114-H1114</f>
        <v/>
      </c>
      <c r="J1114" s="11">
        <f>IF(G1114=0,0,MIN(1,I1114/G1114))</f>
        <v/>
      </c>
    </row>
    <row r="1115">
      <c r="A1115" t="inlineStr">
        <is>
          <t>IMB0427851</t>
        </is>
      </c>
      <c r="B1115" t="inlineStr">
        <is>
          <t>Material poços</t>
        </is>
      </c>
      <c r="C1115" t="inlineStr">
        <is>
          <t>Prio Tigris</t>
        </is>
      </c>
      <c r="D1115" t="inlineStr">
        <is>
          <t>Peregrino</t>
        </is>
      </c>
      <c r="E1115" t="inlineStr">
        <is>
          <t>Packer de produção</t>
        </is>
      </c>
      <c r="F1115" t="inlineStr">
        <is>
          <t>Amostral</t>
        </is>
      </c>
      <c r="G1115" s="8" t="n">
        <v>17545.91</v>
      </c>
      <c r="H1115" s="8" t="n">
        <v>17545.91</v>
      </c>
      <c r="I1115" s="8">
        <f>G1115-H1115</f>
        <v/>
      </c>
      <c r="J1115" s="11">
        <f>IF(G1115=0,0,MIN(1,I1115/G1115))</f>
        <v/>
      </c>
    </row>
    <row r="1116">
      <c r="A1116" t="inlineStr">
        <is>
          <t>IMB0429599</t>
        </is>
      </c>
      <c r="B1116" t="inlineStr">
        <is>
          <t>Material poços</t>
        </is>
      </c>
      <c r="C1116" t="inlineStr">
        <is>
          <t>Prio Bravo</t>
        </is>
      </c>
      <c r="D1116" t="inlineStr">
        <is>
          <t>Polvo &amp; TBMT</t>
        </is>
      </c>
      <c r="E1116" t="inlineStr">
        <is>
          <t>Tubo de produção 4 1/2" (lote)</t>
        </is>
      </c>
      <c r="F1116" t="inlineStr">
        <is>
          <t>Amostral</t>
        </is>
      </c>
      <c r="G1116" s="8" t="n">
        <v>8462.309999999999</v>
      </c>
      <c r="H1116" s="8" t="n">
        <v>8462.309999999999</v>
      </c>
      <c r="I1116" s="8">
        <f>G1116-H1116</f>
        <v/>
      </c>
      <c r="J1116" s="11">
        <f>IF(G1116=0,0,MIN(1,I1116/G1116))</f>
        <v/>
      </c>
    </row>
    <row r="1117">
      <c r="A1117" t="inlineStr">
        <is>
          <t>IMB0431308</t>
        </is>
      </c>
      <c r="B1117" t="inlineStr">
        <is>
          <t>Material poços</t>
        </is>
      </c>
      <c r="C1117" t="inlineStr">
        <is>
          <t>Prio Tigris</t>
        </is>
      </c>
      <c r="D1117" t="inlineStr">
        <is>
          <t>Peregrino</t>
        </is>
      </c>
      <c r="E1117" t="inlineStr">
        <is>
          <t>Suspensor de coluna</t>
        </is>
      </c>
      <c r="F1117" t="inlineStr">
        <is>
          <t>Amostral</t>
        </is>
      </c>
      <c r="G1117" s="8" t="n">
        <v>255712.85</v>
      </c>
      <c r="H1117" s="8" t="n">
        <v>255712.85</v>
      </c>
      <c r="I1117" s="8">
        <f>G1117-H1117</f>
        <v/>
      </c>
      <c r="J1117" s="11">
        <f>IF(G1117=0,0,MIN(1,I1117/G1117))</f>
        <v/>
      </c>
    </row>
    <row r="1118">
      <c r="A1118" t="inlineStr">
        <is>
          <t>IMB0433040</t>
        </is>
      </c>
      <c r="B1118" t="inlineStr">
        <is>
          <t>Material poços</t>
        </is>
      </c>
      <c r="C1118" t="inlineStr">
        <is>
          <t>Prio Tigris</t>
        </is>
      </c>
      <c r="D1118" t="inlineStr">
        <is>
          <t>Peregrino</t>
        </is>
      </c>
      <c r="E1118" t="inlineStr">
        <is>
          <t>Fluido de perfuração base sintética (lote)</t>
        </is>
      </c>
      <c r="F1118" t="inlineStr">
        <is>
          <t>Amostral</t>
        </is>
      </c>
      <c r="G1118" s="8" t="n">
        <v>55823.25</v>
      </c>
      <c r="H1118" s="8" t="n">
        <v>55823.25</v>
      </c>
      <c r="I1118" s="8">
        <f>G1118-H1118</f>
        <v/>
      </c>
      <c r="J1118" s="11">
        <f>IF(G1118=0,0,MIN(1,I1118/G1118))</f>
        <v/>
      </c>
    </row>
    <row r="1119">
      <c r="A1119" t="inlineStr">
        <is>
          <t>IMB0434728</t>
        </is>
      </c>
      <c r="B1119" t="inlineStr">
        <is>
          <t>Material poços</t>
        </is>
      </c>
      <c r="C1119" t="inlineStr">
        <is>
          <t>Prio Bravo</t>
        </is>
      </c>
      <c r="D1119" t="inlineStr">
        <is>
          <t>Polvo &amp; TBMT</t>
        </is>
      </c>
      <c r="E1119" t="inlineStr">
        <is>
          <t>Mandril de gas lift</t>
        </is>
      </c>
      <c r="F1119" t="inlineStr">
        <is>
          <t>Amostral</t>
        </is>
      </c>
      <c r="G1119" s="8" t="n">
        <v>127603.55</v>
      </c>
      <c r="H1119" s="8" t="n">
        <v>127603.55</v>
      </c>
      <c r="I1119" s="8">
        <f>G1119-H1119</f>
        <v/>
      </c>
      <c r="J1119" s="11">
        <f>IF(G1119=0,0,MIN(1,I1119/G1119))</f>
        <v/>
      </c>
    </row>
    <row r="1120">
      <c r="A1120" t="inlineStr">
        <is>
          <t>IMB0436430</t>
        </is>
      </c>
      <c r="B1120" t="inlineStr">
        <is>
          <t>Material poços</t>
        </is>
      </c>
      <c r="C1120" t="inlineStr">
        <is>
          <t>Prio Tigris</t>
        </is>
      </c>
      <c r="D1120" t="inlineStr">
        <is>
          <t>Peregrino</t>
        </is>
      </c>
      <c r="E1120" t="inlineStr">
        <is>
          <t>Liner de produção (lote)</t>
        </is>
      </c>
      <c r="F1120" t="inlineStr">
        <is>
          <t>Amostral</t>
        </is>
      </c>
      <c r="G1120" s="8" t="n">
        <v>20972.86</v>
      </c>
      <c r="H1120" s="8" t="n">
        <v>20972.86</v>
      </c>
      <c r="I1120" s="8">
        <f>G1120-H1120</f>
        <v/>
      </c>
      <c r="J1120" s="11">
        <f>IF(G1120=0,0,MIN(1,I1120/G1120))</f>
        <v/>
      </c>
    </row>
    <row r="1121">
      <c r="A1121" t="inlineStr">
        <is>
          <t>IMB0438148</t>
        </is>
      </c>
      <c r="B1121" t="inlineStr">
        <is>
          <t>Material poços</t>
        </is>
      </c>
      <c r="C1121" t="inlineStr">
        <is>
          <t>Prio Bravo</t>
        </is>
      </c>
      <c r="D1121" t="inlineStr">
        <is>
          <t>Polvo &amp; TBMT</t>
        </is>
      </c>
      <c r="E1121" t="inlineStr">
        <is>
          <t>Cimento classe G (lote)</t>
        </is>
      </c>
      <c r="F1121" t="inlineStr">
        <is>
          <t>Amostral</t>
        </is>
      </c>
      <c r="G1121" s="8" t="n">
        <v>83696.8</v>
      </c>
      <c r="H1121" s="8" t="n">
        <v>83696.8</v>
      </c>
      <c r="I1121" s="8">
        <f>G1121-H1121</f>
        <v/>
      </c>
      <c r="J1121" s="11">
        <f>IF(G1121=0,0,MIN(1,I1121/G1121))</f>
        <v/>
      </c>
    </row>
    <row r="1122">
      <c r="A1122" t="inlineStr">
        <is>
          <t>IMB0439831</t>
        </is>
      </c>
      <c r="B1122" t="inlineStr">
        <is>
          <t>Material poços</t>
        </is>
      </c>
      <c r="C1122" t="inlineStr">
        <is>
          <t>Prio Tigris</t>
        </is>
      </c>
      <c r="D1122" t="inlineStr">
        <is>
          <t>Peregrino</t>
        </is>
      </c>
      <c r="E1122" t="inlineStr">
        <is>
          <t>Packer de produção</t>
        </is>
      </c>
      <c r="F1122" t="inlineStr">
        <is>
          <t>Amostral</t>
        </is>
      </c>
      <c r="G1122" s="8" t="n">
        <v>604017.9300000001</v>
      </c>
      <c r="H1122" s="8" t="n">
        <v>604017.9300000001</v>
      </c>
      <c r="I1122" s="8">
        <f>G1122-H1122</f>
        <v/>
      </c>
      <c r="J1122" s="11">
        <f>IF(G1122=0,0,MIN(1,I1122/G1122))</f>
        <v/>
      </c>
    </row>
    <row r="1123">
      <c r="A1123" t="inlineStr">
        <is>
          <t>IMB0441637</t>
        </is>
      </c>
      <c r="B1123" t="inlineStr">
        <is>
          <t>Material poços</t>
        </is>
      </c>
      <c r="C1123" t="inlineStr">
        <is>
          <t>Prio Tigris</t>
        </is>
      </c>
      <c r="D1123" t="inlineStr">
        <is>
          <t>Peregrino</t>
        </is>
      </c>
      <c r="E1123" t="inlineStr">
        <is>
          <t>Broca PDC 12 1/4"</t>
        </is>
      </c>
      <c r="F1123" t="inlineStr">
        <is>
          <t>Amostral</t>
        </is>
      </c>
      <c r="G1123" s="8" t="n">
        <v>62824.33</v>
      </c>
      <c r="H1123" s="8" t="n">
        <v>62824.33</v>
      </c>
      <c r="I1123" s="8">
        <f>G1123-H1123</f>
        <v/>
      </c>
      <c r="J1123" s="11">
        <f>IF(G1123=0,0,MIN(1,I1123/G1123))</f>
        <v/>
      </c>
    </row>
    <row r="1124">
      <c r="A1124" t="inlineStr">
        <is>
          <t>IMB0443359</t>
        </is>
      </c>
      <c r="B1124" t="inlineStr">
        <is>
          <t>Material poços</t>
        </is>
      </c>
      <c r="C1124" t="inlineStr">
        <is>
          <t>Prio Forte</t>
        </is>
      </c>
      <c r="D1124" t="inlineStr">
        <is>
          <t>Frade</t>
        </is>
      </c>
      <c r="E1124" t="inlineStr">
        <is>
          <t>Tubo de produção 4 1/2" (lote)</t>
        </is>
      </c>
      <c r="F1124" t="inlineStr">
        <is>
          <t>Amostral</t>
        </is>
      </c>
      <c r="G1124" s="8" t="n">
        <v>9636.860000000001</v>
      </c>
      <c r="H1124" s="8" t="n">
        <v>9636.860000000001</v>
      </c>
      <c r="I1124" s="8">
        <f>G1124-H1124</f>
        <v/>
      </c>
      <c r="J1124" s="11">
        <f>IF(G1124=0,0,MIN(1,I1124/G1124))</f>
        <v/>
      </c>
    </row>
    <row r="1125">
      <c r="A1125" t="inlineStr">
        <is>
          <t>IMB0444976</t>
        </is>
      </c>
      <c r="B1125" t="inlineStr">
        <is>
          <t>Material poços</t>
        </is>
      </c>
      <c r="C1125" t="inlineStr">
        <is>
          <t>Prio Tigris</t>
        </is>
      </c>
      <c r="D1125" t="inlineStr">
        <is>
          <t>Peregrino</t>
        </is>
      </c>
      <c r="E1125" t="inlineStr">
        <is>
          <t>Mandril de gas lift</t>
        </is>
      </c>
      <c r="F1125" t="inlineStr">
        <is>
          <t>Amostral</t>
        </is>
      </c>
      <c r="G1125" s="8" t="n">
        <v>697452.6899999999</v>
      </c>
      <c r="H1125" s="8" t="n">
        <v>69109.32000000001</v>
      </c>
      <c r="I1125" s="8">
        <f>G1125-H1125</f>
        <v/>
      </c>
      <c r="J1125" s="11">
        <f>IF(G1125=0,0,MIN(1,I1125/G1125))</f>
        <v/>
      </c>
    </row>
    <row r="1126">
      <c r="A1126" t="inlineStr">
        <is>
          <t>IMB0446646</t>
        </is>
      </c>
      <c r="B1126" t="inlineStr">
        <is>
          <t>Material poços</t>
        </is>
      </c>
      <c r="C1126" t="inlineStr">
        <is>
          <t>Prio Tigris</t>
        </is>
      </c>
      <c r="D1126" t="inlineStr">
        <is>
          <t>Peregrino</t>
        </is>
      </c>
      <c r="E1126" t="inlineStr">
        <is>
          <t>Liner de produção (lote)</t>
        </is>
      </c>
      <c r="F1126" t="inlineStr">
        <is>
          <t>Amostral</t>
        </is>
      </c>
      <c r="G1126" s="8" t="n">
        <v>41246.87</v>
      </c>
      <c r="H1126" s="8" t="n">
        <v>41246.87</v>
      </c>
      <c r="I1126" s="8">
        <f>G1126-H1126</f>
        <v/>
      </c>
      <c r="J1126" s="11">
        <f>IF(G1126=0,0,MIN(1,I1126/G1126))</f>
        <v/>
      </c>
    </row>
    <row r="1127">
      <c r="A1127" t="inlineStr">
        <is>
          <t>IMB0448272</t>
        </is>
      </c>
      <c r="B1127" t="inlineStr">
        <is>
          <t>Material poços</t>
        </is>
      </c>
      <c r="C1127" t="inlineStr">
        <is>
          <t>Prio Bravo</t>
        </is>
      </c>
      <c r="D1127" t="inlineStr">
        <is>
          <t>Polvo &amp; TBMT</t>
        </is>
      </c>
      <c r="E1127" t="inlineStr">
        <is>
          <t>Suspensor de coluna</t>
        </is>
      </c>
      <c r="F1127" t="inlineStr">
        <is>
          <t>Amostral</t>
        </is>
      </c>
      <c r="G1127" s="8" t="n">
        <v>4266.92</v>
      </c>
      <c r="H1127" s="8" t="n">
        <v>4266.92</v>
      </c>
      <c r="I1127" s="8">
        <f>G1127-H1127</f>
        <v/>
      </c>
      <c r="J1127" s="11">
        <f>IF(G1127=0,0,MIN(1,I1127/G1127))</f>
        <v/>
      </c>
    </row>
    <row r="1128">
      <c r="A1128" t="inlineStr">
        <is>
          <t>IMB0449992</t>
        </is>
      </c>
      <c r="B1128" t="inlineStr">
        <is>
          <t>Material poços</t>
        </is>
      </c>
      <c r="C1128" t="inlineStr">
        <is>
          <t>Prio Tigris</t>
        </is>
      </c>
      <c r="D1128" t="inlineStr">
        <is>
          <t>Peregrino</t>
        </is>
      </c>
      <c r="E1128" t="inlineStr">
        <is>
          <t>Tubo de produção 4 1/2" (lote)</t>
        </is>
      </c>
      <c r="F1128" t="inlineStr">
        <is>
          <t>Amostral</t>
        </is>
      </c>
      <c r="G1128" s="8" t="n">
        <v>69730.41</v>
      </c>
      <c r="H1128" s="8" t="n">
        <v>69730.41</v>
      </c>
      <c r="I1128" s="8">
        <f>G1128-H1128</f>
        <v/>
      </c>
      <c r="J1128" s="11">
        <f>IF(G1128=0,0,MIN(1,I1128/G1128))</f>
        <v/>
      </c>
    </row>
    <row r="1129">
      <c r="A1129" t="inlineStr">
        <is>
          <t>IMB0451702</t>
        </is>
      </c>
      <c r="B1129" t="inlineStr">
        <is>
          <t>Material poços</t>
        </is>
      </c>
      <c r="C1129" t="inlineStr">
        <is>
          <t>Prio Tigris</t>
        </is>
      </c>
      <c r="D1129" t="inlineStr">
        <is>
          <t>Peregrino</t>
        </is>
      </c>
      <c r="E1129" t="inlineStr">
        <is>
          <t>Fluido de perfuração base sintética (lote)</t>
        </is>
      </c>
      <c r="F1129" t="inlineStr">
        <is>
          <t>Amostral</t>
        </is>
      </c>
      <c r="G1129" s="8" t="n">
        <v>8615.309999999999</v>
      </c>
      <c r="H1129" s="8" t="n">
        <v>8615.309999999999</v>
      </c>
      <c r="I1129" s="8">
        <f>G1129-H1129</f>
        <v/>
      </c>
      <c r="J1129" s="11">
        <f>IF(G1129=0,0,MIN(1,I1129/G1129))</f>
        <v/>
      </c>
    </row>
    <row r="1130">
      <c r="A1130" t="inlineStr">
        <is>
          <t>IMB0453356</t>
        </is>
      </c>
      <c r="B1130" t="inlineStr">
        <is>
          <t>Material poços</t>
        </is>
      </c>
      <c r="C1130" t="inlineStr">
        <is>
          <t>Prio Tigris</t>
        </is>
      </c>
      <c r="D1130" t="inlineStr">
        <is>
          <t>Peregrino</t>
        </is>
      </c>
      <c r="E1130" t="inlineStr">
        <is>
          <t>Broca PDC 12 1/4"</t>
        </is>
      </c>
      <c r="F1130" t="inlineStr">
        <is>
          <t>Amostral</t>
        </is>
      </c>
      <c r="G1130" s="8" t="n">
        <v>10884.49</v>
      </c>
      <c r="H1130" s="8" t="n">
        <v>10884.49</v>
      </c>
      <c r="I1130" s="8">
        <f>G1130-H1130</f>
        <v/>
      </c>
      <c r="J1130" s="11">
        <f>IF(G1130=0,0,MIN(1,I1130/G1130))</f>
        <v/>
      </c>
    </row>
    <row r="1131">
      <c r="A1131" t="inlineStr">
        <is>
          <t>IMB0455159</t>
        </is>
      </c>
      <c r="B1131" t="inlineStr">
        <is>
          <t>Material poços</t>
        </is>
      </c>
      <c r="C1131" t="inlineStr">
        <is>
          <t>Prio Forte</t>
        </is>
      </c>
      <c r="D1131" t="inlineStr">
        <is>
          <t>Wahoo</t>
        </is>
      </c>
      <c r="E1131" t="inlineStr">
        <is>
          <t>Cabeça de poço submarina</t>
        </is>
      </c>
      <c r="F1131" t="inlineStr">
        <is>
          <t>Amostral</t>
        </is>
      </c>
      <c r="G1131" s="8" t="n">
        <v>55524.61</v>
      </c>
      <c r="H1131" s="8" t="n">
        <v>55524.61</v>
      </c>
      <c r="I1131" s="8">
        <f>G1131-H1131</f>
        <v/>
      </c>
      <c r="J1131" s="11">
        <f>IF(G1131=0,0,MIN(1,I1131/G1131))</f>
        <v/>
      </c>
    </row>
    <row r="1132">
      <c r="A1132" t="inlineStr">
        <is>
          <t>IMB0456899</t>
        </is>
      </c>
      <c r="B1132" t="inlineStr">
        <is>
          <t>Material poços</t>
        </is>
      </c>
      <c r="C1132" t="inlineStr">
        <is>
          <t>Prio Bravo</t>
        </is>
      </c>
      <c r="D1132" t="inlineStr">
        <is>
          <t>Polvo &amp; TBMT</t>
        </is>
      </c>
      <c r="E1132" t="inlineStr">
        <is>
          <t>Válvula DHSV</t>
        </is>
      </c>
      <c r="F1132" t="inlineStr">
        <is>
          <t>Amostral</t>
        </is>
      </c>
      <c r="G1132" s="8" t="n">
        <v>28511.74</v>
      </c>
      <c r="H1132" s="8" t="n">
        <v>28511.74</v>
      </c>
      <c r="I1132" s="8">
        <f>G1132-H1132</f>
        <v/>
      </c>
      <c r="J1132" s="11">
        <f>IF(G1132=0,0,MIN(1,I1132/G1132))</f>
        <v/>
      </c>
    </row>
    <row r="1133">
      <c r="A1133" t="inlineStr">
        <is>
          <t>IMB0458795</t>
        </is>
      </c>
      <c r="B1133" t="inlineStr">
        <is>
          <t>Material poços</t>
        </is>
      </c>
      <c r="C1133" t="inlineStr">
        <is>
          <t>Prio Forte</t>
        </is>
      </c>
      <c r="D1133" t="inlineStr">
        <is>
          <t>Albacora Leste</t>
        </is>
      </c>
      <c r="E1133" t="inlineStr">
        <is>
          <t>Válvula DHSV</t>
        </is>
      </c>
      <c r="F1133" t="inlineStr">
        <is>
          <t>Amostral</t>
        </is>
      </c>
      <c r="G1133" s="8" t="n">
        <v>2289.6</v>
      </c>
      <c r="H1133" s="8" t="n">
        <v>2289.6</v>
      </c>
      <c r="I1133" s="8">
        <f>G1133-H1133</f>
        <v/>
      </c>
      <c r="J1133" s="11">
        <f>IF(G1133=0,0,MIN(1,I1133/G1133))</f>
        <v/>
      </c>
    </row>
    <row r="1134">
      <c r="A1134" t="inlineStr">
        <is>
          <t>IMB0460578</t>
        </is>
      </c>
      <c r="B1134" t="inlineStr">
        <is>
          <t>Material poços</t>
        </is>
      </c>
      <c r="C1134" t="inlineStr">
        <is>
          <t>Prio Forte</t>
        </is>
      </c>
      <c r="D1134" t="inlineStr">
        <is>
          <t>Wahoo</t>
        </is>
      </c>
      <c r="E1134" t="inlineStr">
        <is>
          <t>Tubo de produção 4 1/2" (lote)</t>
        </is>
      </c>
      <c r="F1134" t="inlineStr">
        <is>
          <t>Amostral</t>
        </is>
      </c>
      <c r="G1134" s="8" t="n">
        <v>24442.75</v>
      </c>
      <c r="H1134" s="8" t="n">
        <v>24442.75</v>
      </c>
      <c r="I1134" s="8">
        <f>G1134-H1134</f>
        <v/>
      </c>
      <c r="J1134" s="11">
        <f>IF(G1134=0,0,MIN(1,I1134/G1134))</f>
        <v/>
      </c>
    </row>
    <row r="1135">
      <c r="A1135" t="inlineStr">
        <is>
          <t>IMB0462189</t>
        </is>
      </c>
      <c r="B1135" t="inlineStr">
        <is>
          <t>Material poços</t>
        </is>
      </c>
      <c r="C1135" t="inlineStr">
        <is>
          <t>Prio Bravo</t>
        </is>
      </c>
      <c r="D1135" t="inlineStr">
        <is>
          <t>Polvo &amp; TBMT</t>
        </is>
      </c>
      <c r="E1135" t="inlineStr">
        <is>
          <t>Telas de contenção de areia</t>
        </is>
      </c>
      <c r="F1135" t="inlineStr">
        <is>
          <t>Amostral</t>
        </is>
      </c>
      <c r="G1135" s="8" t="n">
        <v>2832.34</v>
      </c>
      <c r="H1135" s="8" t="n">
        <v>2832.34</v>
      </c>
      <c r="I1135" s="8">
        <f>G1135-H1135</f>
        <v/>
      </c>
      <c r="J1135" s="11">
        <f>IF(G1135=0,0,MIN(1,I1135/G1135))</f>
        <v/>
      </c>
    </row>
    <row r="1136">
      <c r="A1136" t="inlineStr">
        <is>
          <t>IMB0463793</t>
        </is>
      </c>
      <c r="B1136" t="inlineStr">
        <is>
          <t>Material poços</t>
        </is>
      </c>
      <c r="C1136" t="inlineStr">
        <is>
          <t>Prio Forte</t>
        </is>
      </c>
      <c r="D1136" t="inlineStr">
        <is>
          <t>Wahoo</t>
        </is>
      </c>
      <c r="E1136" t="inlineStr">
        <is>
          <t>Motor de BCS (estoque)</t>
        </is>
      </c>
      <c r="F1136" t="inlineStr">
        <is>
          <t>Amostral</t>
        </is>
      </c>
      <c r="G1136" s="8" t="n">
        <v>37280.11</v>
      </c>
      <c r="H1136" s="8" t="n">
        <v>37280.11</v>
      </c>
      <c r="I1136" s="8">
        <f>G1136-H1136</f>
        <v/>
      </c>
      <c r="J1136" s="11">
        <f>IF(G1136=0,0,MIN(1,I1136/G1136))</f>
        <v/>
      </c>
    </row>
    <row r="1137">
      <c r="A1137" t="inlineStr">
        <is>
          <t>IMB0465499</t>
        </is>
      </c>
      <c r="B1137" t="inlineStr">
        <is>
          <t>Material poços</t>
        </is>
      </c>
      <c r="C1137" t="inlineStr">
        <is>
          <t>Prio Bravo</t>
        </is>
      </c>
      <c r="D1137" t="inlineStr">
        <is>
          <t>Polvo &amp; TBMT</t>
        </is>
      </c>
      <c r="E1137" t="inlineStr">
        <is>
          <t>Suspensor de coluna</t>
        </is>
      </c>
      <c r="F1137" t="inlineStr">
        <is>
          <t>Amostral</t>
        </is>
      </c>
      <c r="G1137" s="8" t="n">
        <v>23401.12</v>
      </c>
      <c r="H1137" s="8" t="n">
        <v>23401.12</v>
      </c>
      <c r="I1137" s="8">
        <f>G1137-H1137</f>
        <v/>
      </c>
      <c r="J1137" s="11">
        <f>IF(G1137=0,0,MIN(1,I1137/G1137))</f>
        <v/>
      </c>
    </row>
    <row r="1138">
      <c r="A1138" t="inlineStr">
        <is>
          <t>IMB0467212</t>
        </is>
      </c>
      <c r="B1138" t="inlineStr">
        <is>
          <t>Material poços</t>
        </is>
      </c>
      <c r="C1138" t="inlineStr">
        <is>
          <t>Prio Forte</t>
        </is>
      </c>
      <c r="D1138" t="inlineStr">
        <is>
          <t>Wahoo</t>
        </is>
      </c>
      <c r="E1138" t="inlineStr">
        <is>
          <t>Telas de contenção de areia</t>
        </is>
      </c>
      <c r="F1138" t="inlineStr">
        <is>
          <t>Amostral</t>
        </is>
      </c>
      <c r="G1138" s="8" t="n">
        <v>102341.07</v>
      </c>
      <c r="H1138" s="8" t="n">
        <v>102341.07</v>
      </c>
      <c r="I1138" s="8">
        <f>G1138-H1138</f>
        <v/>
      </c>
      <c r="J1138" s="11">
        <f>IF(G1138=0,0,MIN(1,I1138/G1138))</f>
        <v/>
      </c>
    </row>
    <row r="1139">
      <c r="A1139" t="inlineStr">
        <is>
          <t>IMB0468817</t>
        </is>
      </c>
      <c r="B1139" t="inlineStr">
        <is>
          <t>Material poços</t>
        </is>
      </c>
      <c r="C1139" t="inlineStr">
        <is>
          <t>Prio Bravo</t>
        </is>
      </c>
      <c r="D1139" t="inlineStr">
        <is>
          <t>Polvo &amp; TBMT</t>
        </is>
      </c>
      <c r="E1139" t="inlineStr">
        <is>
          <t>Conector submarino</t>
        </is>
      </c>
      <c r="F1139" t="inlineStr">
        <is>
          <t>Amostral</t>
        </is>
      </c>
      <c r="G1139" s="8" t="n">
        <v>9086.01</v>
      </c>
      <c r="H1139" s="8" t="n">
        <v>9086.01</v>
      </c>
      <c r="I1139" s="8">
        <f>G1139-H1139</f>
        <v/>
      </c>
      <c r="J1139" s="11">
        <f>IF(G1139=0,0,MIN(1,I1139/G1139))</f>
        <v/>
      </c>
    </row>
    <row r="1140">
      <c r="A1140" t="inlineStr">
        <is>
          <t>IMB0470508</t>
        </is>
      </c>
      <c r="B1140" t="inlineStr">
        <is>
          <t>Material poços</t>
        </is>
      </c>
      <c r="C1140" t="inlineStr">
        <is>
          <t>Prio Forte</t>
        </is>
      </c>
      <c r="D1140" t="inlineStr">
        <is>
          <t>Wahoo</t>
        </is>
      </c>
      <c r="E1140" t="inlineStr">
        <is>
          <t>Broca PDC 12 1/4"</t>
        </is>
      </c>
      <c r="F1140" t="inlineStr">
        <is>
          <t>Amostral</t>
        </is>
      </c>
      <c r="G1140" s="8" t="n">
        <v>9722.25</v>
      </c>
      <c r="H1140" s="8" t="n">
        <v>9722.25</v>
      </c>
      <c r="I1140" s="8">
        <f>G1140-H1140</f>
        <v/>
      </c>
      <c r="J1140" s="11">
        <f>IF(G1140=0,0,MIN(1,I1140/G1140))</f>
        <v/>
      </c>
    </row>
    <row r="1141">
      <c r="A1141" t="inlineStr">
        <is>
          <t>IMB0472072</t>
        </is>
      </c>
      <c r="B1141" t="inlineStr">
        <is>
          <t>Material poços</t>
        </is>
      </c>
      <c r="C1141" t="inlineStr">
        <is>
          <t>Prio Forte</t>
        </is>
      </c>
      <c r="D1141" t="inlineStr">
        <is>
          <t>Albacora Leste</t>
        </is>
      </c>
      <c r="E1141" t="inlineStr">
        <is>
          <t>Suspensor de coluna</t>
        </is>
      </c>
      <c r="F1141" t="inlineStr">
        <is>
          <t>Amostral</t>
        </is>
      </c>
      <c r="G1141" s="8" t="n">
        <v>110398.86</v>
      </c>
      <c r="H1141" s="8" t="n">
        <v>110398.86</v>
      </c>
      <c r="I1141" s="8">
        <f>G1141-H1141</f>
        <v/>
      </c>
      <c r="J1141" s="11">
        <f>IF(G1141=0,0,MIN(1,I1141/G1141))</f>
        <v/>
      </c>
    </row>
    <row r="1142">
      <c r="A1142" t="inlineStr">
        <is>
          <t>IMB0473672</t>
        </is>
      </c>
      <c r="B1142" t="inlineStr">
        <is>
          <t>Material poços</t>
        </is>
      </c>
      <c r="C1142" t="inlineStr">
        <is>
          <t>Prio Tigris</t>
        </is>
      </c>
      <c r="D1142" t="inlineStr">
        <is>
          <t>Peregrino</t>
        </is>
      </c>
      <c r="E1142" t="inlineStr">
        <is>
          <t>Cabeça de poço submarina</t>
        </is>
      </c>
      <c r="F1142" t="inlineStr">
        <is>
          <t>Amostral</t>
        </is>
      </c>
      <c r="G1142" s="8" t="n">
        <v>75986.71000000001</v>
      </c>
      <c r="H1142" s="8" t="n">
        <v>75986.71000000001</v>
      </c>
      <c r="I1142" s="8">
        <f>G1142-H1142</f>
        <v/>
      </c>
      <c r="J1142" s="11">
        <f>IF(G1142=0,0,MIN(1,I1142/G1142))</f>
        <v/>
      </c>
    </row>
    <row r="1143">
      <c r="A1143" t="inlineStr">
        <is>
          <t>IMB0475421</t>
        </is>
      </c>
      <c r="B1143" t="inlineStr">
        <is>
          <t>Material poços</t>
        </is>
      </c>
      <c r="C1143" t="inlineStr">
        <is>
          <t>Prio Forte</t>
        </is>
      </c>
      <c r="D1143" t="inlineStr">
        <is>
          <t>Wahoo</t>
        </is>
      </c>
      <c r="E1143" t="inlineStr">
        <is>
          <t>Suspensor de coluna</t>
        </is>
      </c>
      <c r="F1143" t="inlineStr">
        <is>
          <t>Amostral</t>
        </is>
      </c>
      <c r="G1143" s="8" t="n">
        <v>21992.69</v>
      </c>
      <c r="H1143" s="8" t="n">
        <v>21992.69</v>
      </c>
      <c r="I1143" s="8">
        <f>G1143-H1143</f>
        <v/>
      </c>
      <c r="J1143" s="11">
        <f>IF(G1143=0,0,MIN(1,I1143/G1143))</f>
        <v/>
      </c>
    </row>
    <row r="1144">
      <c r="A1144" t="inlineStr">
        <is>
          <t>IMB0477136</t>
        </is>
      </c>
      <c r="B1144" t="inlineStr">
        <is>
          <t>Material poços</t>
        </is>
      </c>
      <c r="C1144" t="inlineStr">
        <is>
          <t>Prio Forte</t>
        </is>
      </c>
      <c r="D1144" t="inlineStr">
        <is>
          <t>Wahoo</t>
        </is>
      </c>
      <c r="E1144" t="inlineStr">
        <is>
          <t>Válvula DHSV</t>
        </is>
      </c>
      <c r="F1144" t="inlineStr">
        <is>
          <t>Amostral</t>
        </is>
      </c>
      <c r="G1144" s="8" t="n">
        <v>84994.89</v>
      </c>
      <c r="H1144" s="8" t="n">
        <v>84994.89</v>
      </c>
      <c r="I1144" s="8">
        <f>G1144-H1144</f>
        <v/>
      </c>
      <c r="J1144" s="11">
        <f>IF(G1144=0,0,MIN(1,I1144/G1144))</f>
        <v/>
      </c>
    </row>
    <row r="1145">
      <c r="A1145" t="inlineStr">
        <is>
          <t>IMB0478838</t>
        </is>
      </c>
      <c r="B1145" t="inlineStr">
        <is>
          <t>Material poços</t>
        </is>
      </c>
      <c r="C1145" t="inlineStr">
        <is>
          <t>Prio Tigris</t>
        </is>
      </c>
      <c r="D1145" t="inlineStr">
        <is>
          <t>Peregrino</t>
        </is>
      </c>
      <c r="E1145" t="inlineStr">
        <is>
          <t>Tubo de produção 4 1/2" (lote)</t>
        </is>
      </c>
      <c r="F1145" t="inlineStr">
        <is>
          <t>Amostral</t>
        </is>
      </c>
      <c r="G1145" s="8" t="n">
        <v>32222.89</v>
      </c>
      <c r="H1145" s="8" t="n">
        <v>32222.89</v>
      </c>
      <c r="I1145" s="8">
        <f>G1145-H1145</f>
        <v/>
      </c>
      <c r="J1145" s="11">
        <f>IF(G1145=0,0,MIN(1,I1145/G1145))</f>
        <v/>
      </c>
    </row>
    <row r="1146">
      <c r="A1146" t="inlineStr">
        <is>
          <t>IMB0480472</t>
        </is>
      </c>
      <c r="B1146" t="inlineStr">
        <is>
          <t>Material poços</t>
        </is>
      </c>
      <c r="C1146" t="inlineStr">
        <is>
          <t>Prio Tigris</t>
        </is>
      </c>
      <c r="D1146" t="inlineStr">
        <is>
          <t>Peregrino</t>
        </is>
      </c>
      <c r="E1146" t="inlineStr">
        <is>
          <t>Packer de produção</t>
        </is>
      </c>
      <c r="F1146" t="inlineStr">
        <is>
          <t>Amostral</t>
        </is>
      </c>
      <c r="G1146" s="8" t="n">
        <v>12318.4</v>
      </c>
      <c r="H1146" s="8" t="n">
        <v>12318.4</v>
      </c>
      <c r="I1146" s="8">
        <f>G1146-H1146</f>
        <v/>
      </c>
      <c r="J1146" s="11">
        <f>IF(G1146=0,0,MIN(1,I1146/G1146))</f>
        <v/>
      </c>
    </row>
    <row r="1147">
      <c r="A1147" t="inlineStr">
        <is>
          <t>IMB0482172</t>
        </is>
      </c>
      <c r="B1147" t="inlineStr">
        <is>
          <t>Material poços</t>
        </is>
      </c>
      <c r="C1147" t="inlineStr">
        <is>
          <t>Prio Forte</t>
        </is>
      </c>
      <c r="D1147" t="inlineStr">
        <is>
          <t>Frade</t>
        </is>
      </c>
      <c r="E1147" t="inlineStr">
        <is>
          <t>Broca PDC 12 1/4"</t>
        </is>
      </c>
      <c r="F1147" t="inlineStr">
        <is>
          <t>Amostral</t>
        </is>
      </c>
      <c r="G1147" s="8" t="n">
        <v>5667.17</v>
      </c>
      <c r="H1147" s="8" t="n">
        <v>5667.17</v>
      </c>
      <c r="I1147" s="8">
        <f>G1147-H1147</f>
        <v/>
      </c>
      <c r="J1147" s="11">
        <f>IF(G1147=0,0,MIN(1,I1147/G1147))</f>
        <v/>
      </c>
    </row>
    <row r="1148">
      <c r="A1148" t="inlineStr">
        <is>
          <t>IMB0483913</t>
        </is>
      </c>
      <c r="B1148" t="inlineStr">
        <is>
          <t>Material poços</t>
        </is>
      </c>
      <c r="C1148" t="inlineStr">
        <is>
          <t>Prio Tigris</t>
        </is>
      </c>
      <c r="D1148" t="inlineStr">
        <is>
          <t>Peregrino</t>
        </is>
      </c>
      <c r="E1148" t="inlineStr">
        <is>
          <t>Válvula DHSV</t>
        </is>
      </c>
      <c r="F1148" t="inlineStr">
        <is>
          <t>Amostral</t>
        </is>
      </c>
      <c r="G1148" s="8" t="n">
        <v>44157.63</v>
      </c>
      <c r="H1148" s="8" t="n">
        <v>44157.63</v>
      </c>
      <c r="I1148" s="8">
        <f>G1148-H1148</f>
        <v/>
      </c>
      <c r="J1148" s="11">
        <f>IF(G1148=0,0,MIN(1,I1148/G1148))</f>
        <v/>
      </c>
    </row>
    <row r="1149">
      <c r="A1149" t="inlineStr">
        <is>
          <t>IMB0485329</t>
        </is>
      </c>
      <c r="B1149" t="inlineStr">
        <is>
          <t>Material poços</t>
        </is>
      </c>
      <c r="C1149" t="inlineStr">
        <is>
          <t>Prio Bravo</t>
        </is>
      </c>
      <c r="D1149" t="inlineStr">
        <is>
          <t>Polvo &amp; TBMT</t>
        </is>
      </c>
      <c r="E1149" t="inlineStr">
        <is>
          <t>Cimento classe G (lote)</t>
        </is>
      </c>
      <c r="F1149" t="inlineStr">
        <is>
          <t>Amostral</t>
        </is>
      </c>
      <c r="G1149" s="8" t="n">
        <v>33186.89</v>
      </c>
      <c r="H1149" s="8" t="n">
        <v>33186.89</v>
      </c>
      <c r="I1149" s="8">
        <f>G1149-H1149</f>
        <v/>
      </c>
      <c r="J1149" s="11">
        <f>IF(G1149=0,0,MIN(1,I1149/G1149))</f>
        <v/>
      </c>
    </row>
    <row r="1150">
      <c r="A1150" t="inlineStr">
        <is>
          <t>IMB0487045</t>
        </is>
      </c>
      <c r="B1150" t="inlineStr">
        <is>
          <t>Material poços</t>
        </is>
      </c>
      <c r="C1150" t="inlineStr">
        <is>
          <t>Prio Forte</t>
        </is>
      </c>
      <c r="D1150" t="inlineStr">
        <is>
          <t>Albacora Leste</t>
        </is>
      </c>
      <c r="E1150" t="inlineStr">
        <is>
          <t>Mandril de gas lift</t>
        </is>
      </c>
      <c r="F1150" t="inlineStr">
        <is>
          <t>Amostral</t>
        </is>
      </c>
      <c r="G1150" s="8" t="n">
        <v>78782.64999999999</v>
      </c>
      <c r="H1150" s="8" t="n">
        <v>78782.64999999999</v>
      </c>
      <c r="I1150" s="8">
        <f>G1150-H1150</f>
        <v/>
      </c>
      <c r="J1150" s="11">
        <f>IF(G1150=0,0,MIN(1,I1150/G1150))</f>
        <v/>
      </c>
    </row>
    <row r="1151">
      <c r="A1151" t="inlineStr">
        <is>
          <t>IMB0488680</t>
        </is>
      </c>
      <c r="B1151" t="inlineStr">
        <is>
          <t>Material poços</t>
        </is>
      </c>
      <c r="C1151" t="inlineStr">
        <is>
          <t>Prio Tigris</t>
        </is>
      </c>
      <c r="D1151" t="inlineStr">
        <is>
          <t>Peregrino</t>
        </is>
      </c>
      <c r="E1151" t="inlineStr">
        <is>
          <t>Conector submarino</t>
        </is>
      </c>
      <c r="F1151" t="inlineStr">
        <is>
          <t>Amostral</t>
        </is>
      </c>
      <c r="G1151" s="8" t="n">
        <v>60627.56</v>
      </c>
      <c r="H1151" s="8" t="n">
        <v>60627.56</v>
      </c>
      <c r="I1151" s="8">
        <f>G1151-H1151</f>
        <v/>
      </c>
      <c r="J1151" s="11">
        <f>IF(G1151=0,0,MIN(1,I1151/G1151))</f>
        <v/>
      </c>
    </row>
    <row r="1152">
      <c r="A1152" t="inlineStr">
        <is>
          <t>IMB0490405</t>
        </is>
      </c>
      <c r="B1152" t="inlineStr">
        <is>
          <t>Material poços</t>
        </is>
      </c>
      <c r="C1152" t="inlineStr">
        <is>
          <t>Prio Forte</t>
        </is>
      </c>
      <c r="D1152" t="inlineStr">
        <is>
          <t>Frade</t>
        </is>
      </c>
      <c r="E1152" t="inlineStr">
        <is>
          <t>Cabeça de poço submarina</t>
        </is>
      </c>
      <c r="F1152" t="inlineStr">
        <is>
          <t>Amostral</t>
        </is>
      </c>
      <c r="G1152" s="8" t="n">
        <v>8740.82</v>
      </c>
      <c r="H1152" s="8" t="n">
        <v>8740.82</v>
      </c>
      <c r="I1152" s="8">
        <f>G1152-H1152</f>
        <v/>
      </c>
      <c r="J1152" s="11">
        <f>IF(G1152=0,0,MIN(1,I1152/G1152))</f>
        <v/>
      </c>
    </row>
    <row r="1153">
      <c r="A1153" t="inlineStr">
        <is>
          <t>IMB0492150</t>
        </is>
      </c>
      <c r="B1153" t="inlineStr">
        <is>
          <t>Material poços</t>
        </is>
      </c>
      <c r="C1153" t="inlineStr">
        <is>
          <t>Prio Forte</t>
        </is>
      </c>
      <c r="D1153" t="inlineStr">
        <is>
          <t>Frade</t>
        </is>
      </c>
      <c r="E1153" t="inlineStr">
        <is>
          <t>Tubo de revestimento 9 5/8" (lote)</t>
        </is>
      </c>
      <c r="F1153" t="inlineStr">
        <is>
          <t>Amostral</t>
        </is>
      </c>
      <c r="G1153" s="8" t="n">
        <v>46474.49</v>
      </c>
      <c r="H1153" s="8" t="n">
        <v>46474.49</v>
      </c>
      <c r="I1153" s="8">
        <f>G1153-H1153</f>
        <v/>
      </c>
      <c r="J1153" s="11">
        <f>IF(G1153=0,0,MIN(1,I1153/G1153))</f>
        <v/>
      </c>
    </row>
    <row r="1154">
      <c r="A1154" t="inlineStr">
        <is>
          <t>IMB0493921</t>
        </is>
      </c>
      <c r="B1154" t="inlineStr">
        <is>
          <t>Material poços</t>
        </is>
      </c>
      <c r="C1154" t="inlineStr">
        <is>
          <t>Prio Bravo</t>
        </is>
      </c>
      <c r="D1154" t="inlineStr">
        <is>
          <t>Polvo &amp; TBMT</t>
        </is>
      </c>
      <c r="E1154" t="inlineStr">
        <is>
          <t>Suspensor de coluna</t>
        </is>
      </c>
      <c r="F1154" t="inlineStr">
        <is>
          <t>Amostral</t>
        </is>
      </c>
      <c r="G1154" s="8" t="n">
        <v>49533.3</v>
      </c>
      <c r="H1154" s="8" t="n">
        <v>49533.3</v>
      </c>
      <c r="I1154" s="8">
        <f>G1154-H1154</f>
        <v/>
      </c>
      <c r="J1154" s="11">
        <f>IF(G1154=0,0,MIN(1,I1154/G1154))</f>
        <v/>
      </c>
    </row>
    <row r="1155">
      <c r="A1155" t="inlineStr">
        <is>
          <t>IMB0495487</t>
        </is>
      </c>
      <c r="B1155" t="inlineStr">
        <is>
          <t>Material poços</t>
        </is>
      </c>
      <c r="C1155" t="inlineStr">
        <is>
          <t>Prio Bravo</t>
        </is>
      </c>
      <c r="D1155" t="inlineStr">
        <is>
          <t>Polvo &amp; TBMT</t>
        </is>
      </c>
      <c r="E1155" t="inlineStr">
        <is>
          <t>Tubo de produção 4 1/2" (lote)</t>
        </is>
      </c>
      <c r="F1155" t="inlineStr">
        <is>
          <t>Amostral</t>
        </is>
      </c>
      <c r="G1155" s="8" t="n">
        <v>136027.19</v>
      </c>
      <c r="H1155" s="8" t="n">
        <v>136027.19</v>
      </c>
      <c r="I1155" s="8">
        <f>G1155-H1155</f>
        <v/>
      </c>
      <c r="J1155" s="11">
        <f>IF(G1155=0,0,MIN(1,I1155/G1155))</f>
        <v/>
      </c>
    </row>
    <row r="1156">
      <c r="A1156" t="inlineStr">
        <is>
          <t>IMB0497157</t>
        </is>
      </c>
      <c r="B1156" t="inlineStr">
        <is>
          <t>Material poços</t>
        </is>
      </c>
      <c r="C1156" t="inlineStr">
        <is>
          <t>Prio Bravo</t>
        </is>
      </c>
      <c r="D1156" t="inlineStr">
        <is>
          <t>Polvo &amp; TBMT</t>
        </is>
      </c>
      <c r="E1156" t="inlineStr">
        <is>
          <t>Tubo de revestimento 9 5/8" (lote)</t>
        </is>
      </c>
      <c r="F1156" t="inlineStr">
        <is>
          <t>Amostral</t>
        </is>
      </c>
      <c r="G1156" s="8" t="n">
        <v>65408.8</v>
      </c>
      <c r="H1156" s="8" t="n">
        <v>65408.8</v>
      </c>
      <c r="I1156" s="8">
        <f>G1156-H1156</f>
        <v/>
      </c>
      <c r="J1156" s="11">
        <f>IF(G1156=0,0,MIN(1,I1156/G1156))</f>
        <v/>
      </c>
    </row>
    <row r="1157">
      <c r="A1157" t="inlineStr">
        <is>
          <t>IMB0498844</t>
        </is>
      </c>
      <c r="B1157" t="inlineStr">
        <is>
          <t>Material poços</t>
        </is>
      </c>
      <c r="C1157" t="inlineStr">
        <is>
          <t>Prio Forte</t>
        </is>
      </c>
      <c r="D1157" t="inlineStr">
        <is>
          <t>Wahoo</t>
        </is>
      </c>
      <c r="E1157" t="inlineStr">
        <is>
          <t>Tubo de revestimento 9 5/8" (lote)</t>
        </is>
      </c>
      <c r="F1157" t="inlineStr">
        <is>
          <t>Amostral</t>
        </is>
      </c>
      <c r="G1157" s="8" t="n">
        <v>52771.28</v>
      </c>
      <c r="H1157" s="8" t="n">
        <v>52771.28</v>
      </c>
      <c r="I1157" s="8">
        <f>G1157-H1157</f>
        <v/>
      </c>
      <c r="J1157" s="11">
        <f>IF(G1157=0,0,MIN(1,I1157/G1157))</f>
        <v/>
      </c>
    </row>
    <row r="1158">
      <c r="A1158" t="inlineStr">
        <is>
          <t>IMB0500582</t>
        </is>
      </c>
      <c r="B1158" t="inlineStr">
        <is>
          <t>Material poços</t>
        </is>
      </c>
      <c r="C1158" t="inlineStr">
        <is>
          <t>Prio Tigris</t>
        </is>
      </c>
      <c r="D1158" t="inlineStr">
        <is>
          <t>Peregrino</t>
        </is>
      </c>
      <c r="E1158" t="inlineStr">
        <is>
          <t>Tubo de revestimento 9 5/8" (lote)</t>
        </is>
      </c>
      <c r="F1158" t="inlineStr">
        <is>
          <t>Amostral</t>
        </is>
      </c>
      <c r="G1158" s="8" t="n">
        <v>95960.02</v>
      </c>
      <c r="H1158" s="8" t="n">
        <v>95960.02</v>
      </c>
      <c r="I1158" s="8">
        <f>G1158-H1158</f>
        <v/>
      </c>
      <c r="J1158" s="11">
        <f>IF(G1158=0,0,MIN(1,I1158/G1158))</f>
        <v/>
      </c>
    </row>
    <row r="1159">
      <c r="A1159" t="inlineStr">
        <is>
          <t>IMB0502301</t>
        </is>
      </c>
      <c r="B1159" t="inlineStr">
        <is>
          <t>Material poços</t>
        </is>
      </c>
      <c r="C1159" t="inlineStr">
        <is>
          <t>Prio Tigris</t>
        </is>
      </c>
      <c r="D1159" t="inlineStr">
        <is>
          <t>Peregrino</t>
        </is>
      </c>
      <c r="E1159" t="inlineStr">
        <is>
          <t>Válvula DHSV</t>
        </is>
      </c>
      <c r="F1159" t="inlineStr">
        <is>
          <t>Amostral</t>
        </is>
      </c>
      <c r="G1159" s="8" t="n">
        <v>4755.19</v>
      </c>
      <c r="H1159" s="8" t="n">
        <v>4755.19</v>
      </c>
      <c r="I1159" s="8">
        <f>G1159-H1159</f>
        <v/>
      </c>
      <c r="J1159" s="11">
        <f>IF(G1159=0,0,MIN(1,I1159/G1159))</f>
        <v/>
      </c>
    </row>
    <row r="1160">
      <c r="A1160" t="inlineStr">
        <is>
          <t>IMB0503969</t>
        </is>
      </c>
      <c r="B1160" t="inlineStr">
        <is>
          <t>Material poços</t>
        </is>
      </c>
      <c r="C1160" t="inlineStr">
        <is>
          <t>Prio Forte</t>
        </is>
      </c>
      <c r="D1160" t="inlineStr">
        <is>
          <t>Wahoo</t>
        </is>
      </c>
      <c r="E1160" t="inlineStr">
        <is>
          <t>Tubo de produção 4 1/2" (lote)</t>
        </is>
      </c>
      <c r="F1160" t="inlineStr">
        <is>
          <t>Amostral</t>
        </is>
      </c>
      <c r="G1160" s="8" t="n">
        <v>72701.82000000001</v>
      </c>
      <c r="H1160" s="8" t="n">
        <v>72701.82000000001</v>
      </c>
      <c r="I1160" s="8">
        <f>G1160-H1160</f>
        <v/>
      </c>
      <c r="J1160" s="11">
        <f>IF(G1160=0,0,MIN(1,I1160/G1160))</f>
        <v/>
      </c>
    </row>
    <row r="1161">
      <c r="A1161" t="inlineStr">
        <is>
          <t>IMB0505657</t>
        </is>
      </c>
      <c r="B1161" t="inlineStr">
        <is>
          <t>Material poços</t>
        </is>
      </c>
      <c r="C1161" t="inlineStr">
        <is>
          <t>Prio Forte</t>
        </is>
      </c>
      <c r="D1161" t="inlineStr">
        <is>
          <t>Wahoo</t>
        </is>
      </c>
      <c r="E1161" t="inlineStr">
        <is>
          <t>Packer de produção</t>
        </is>
      </c>
      <c r="F1161" t="inlineStr">
        <is>
          <t>Amostral</t>
        </is>
      </c>
      <c r="G1161" s="8" t="n">
        <v>11169.7</v>
      </c>
      <c r="H1161" s="8" t="n">
        <v>11169.7</v>
      </c>
      <c r="I1161" s="8">
        <f>G1161-H1161</f>
        <v/>
      </c>
      <c r="J1161" s="11">
        <f>IF(G1161=0,0,MIN(1,I1161/G1161))</f>
        <v/>
      </c>
    </row>
    <row r="1162">
      <c r="A1162" t="inlineStr">
        <is>
          <t>IMB0507394</t>
        </is>
      </c>
      <c r="B1162" t="inlineStr">
        <is>
          <t>Material poços</t>
        </is>
      </c>
      <c r="C1162" t="inlineStr">
        <is>
          <t>Prio Forte</t>
        </is>
      </c>
      <c r="D1162" t="inlineStr">
        <is>
          <t>Wahoo</t>
        </is>
      </c>
      <c r="E1162" t="inlineStr">
        <is>
          <t>Broca PDC 12 1/4"</t>
        </is>
      </c>
      <c r="F1162" t="inlineStr">
        <is>
          <t>Amostral</t>
        </is>
      </c>
      <c r="G1162" s="8" t="n">
        <v>46743.07</v>
      </c>
      <c r="H1162" s="8" t="n">
        <v>46743.07</v>
      </c>
      <c r="I1162" s="8">
        <f>G1162-H1162</f>
        <v/>
      </c>
      <c r="J1162" s="11">
        <f>IF(G1162=0,0,MIN(1,I1162/G1162))</f>
        <v/>
      </c>
    </row>
    <row r="1163">
      <c r="A1163" t="inlineStr">
        <is>
          <t>IMB0509036</t>
        </is>
      </c>
      <c r="B1163" t="inlineStr">
        <is>
          <t>Material poços</t>
        </is>
      </c>
      <c r="C1163" t="inlineStr">
        <is>
          <t>Prio Forte</t>
        </is>
      </c>
      <c r="D1163" t="inlineStr">
        <is>
          <t>Frade</t>
        </is>
      </c>
      <c r="E1163" t="inlineStr">
        <is>
          <t>Tubo de revestimento 9 5/8" (lote)</t>
        </is>
      </c>
      <c r="F1163" t="inlineStr">
        <is>
          <t>Amostral</t>
        </is>
      </c>
      <c r="G1163" s="8" t="n">
        <v>19916.09</v>
      </c>
      <c r="H1163" s="8" t="n">
        <v>19916.09</v>
      </c>
      <c r="I1163" s="8">
        <f>G1163-H1163</f>
        <v/>
      </c>
      <c r="J1163" s="11">
        <f>IF(G1163=0,0,MIN(1,I1163/G1163))</f>
        <v/>
      </c>
    </row>
    <row r="1164">
      <c r="A1164" t="inlineStr">
        <is>
          <t>IMB0510718</t>
        </is>
      </c>
      <c r="B1164" t="inlineStr">
        <is>
          <t>Material poços</t>
        </is>
      </c>
      <c r="C1164" t="inlineStr">
        <is>
          <t>Prio Forte</t>
        </is>
      </c>
      <c r="D1164" t="inlineStr">
        <is>
          <t>Albacora Leste</t>
        </is>
      </c>
      <c r="E1164" t="inlineStr">
        <is>
          <t>Tubo de produção 4 1/2" (lote)</t>
        </is>
      </c>
      <c r="F1164" t="inlineStr">
        <is>
          <t>Amostral</t>
        </is>
      </c>
      <c r="G1164" s="8" t="n">
        <v>26702.95</v>
      </c>
      <c r="H1164" s="8" t="n">
        <v>26702.95</v>
      </c>
      <c r="I1164" s="8">
        <f>G1164-H1164</f>
        <v/>
      </c>
      <c r="J1164" s="11">
        <f>IF(G1164=0,0,MIN(1,I1164/G1164))</f>
        <v/>
      </c>
    </row>
    <row r="1165">
      <c r="A1165" t="inlineStr">
        <is>
          <t>IMB0512481</t>
        </is>
      </c>
      <c r="B1165" t="inlineStr">
        <is>
          <t>Material poços</t>
        </is>
      </c>
      <c r="C1165" t="inlineStr">
        <is>
          <t>Prio Bravo</t>
        </is>
      </c>
      <c r="D1165" t="inlineStr">
        <is>
          <t>Polvo &amp; TBMT</t>
        </is>
      </c>
      <c r="E1165" t="inlineStr">
        <is>
          <t>Motor de BCS (estoque)</t>
        </is>
      </c>
      <c r="F1165" t="inlineStr">
        <is>
          <t>Amostral</t>
        </is>
      </c>
      <c r="G1165" s="8" t="n">
        <v>29604.16</v>
      </c>
      <c r="H1165" s="8" t="n">
        <v>29604.16</v>
      </c>
      <c r="I1165" s="8">
        <f>G1165-H1165</f>
        <v/>
      </c>
      <c r="J1165" s="11">
        <f>IF(G1165=0,0,MIN(1,I1165/G1165))</f>
        <v/>
      </c>
    </row>
    <row r="1166">
      <c r="A1166" t="inlineStr">
        <is>
          <t>IMB0514212</t>
        </is>
      </c>
      <c r="B1166" t="inlineStr">
        <is>
          <t>Material poços</t>
        </is>
      </c>
      <c r="C1166" t="inlineStr">
        <is>
          <t>Prio Tigris</t>
        </is>
      </c>
      <c r="D1166" t="inlineStr">
        <is>
          <t>Peregrino</t>
        </is>
      </c>
      <c r="E1166" t="inlineStr">
        <is>
          <t>Motor de BCS (estoque)</t>
        </is>
      </c>
      <c r="F1166" t="inlineStr">
        <is>
          <t>Amostral</t>
        </is>
      </c>
      <c r="G1166" s="8" t="n">
        <v>100977.52</v>
      </c>
      <c r="H1166" s="8" t="n">
        <v>100977.52</v>
      </c>
      <c r="I1166" s="8">
        <f>G1166-H1166</f>
        <v/>
      </c>
      <c r="J1166" s="11">
        <f>IF(G1166=0,0,MIN(1,I1166/G1166))</f>
        <v/>
      </c>
    </row>
    <row r="1167">
      <c r="A1167" t="inlineStr">
        <is>
          <t>IMB0515973</t>
        </is>
      </c>
      <c r="B1167" t="inlineStr">
        <is>
          <t>Material poços</t>
        </is>
      </c>
      <c r="C1167" t="inlineStr">
        <is>
          <t>Prio Forte</t>
        </is>
      </c>
      <c r="D1167" t="inlineStr">
        <is>
          <t>Wahoo</t>
        </is>
      </c>
      <c r="E1167" t="inlineStr">
        <is>
          <t>Mandril de gas lift</t>
        </is>
      </c>
      <c r="F1167" t="inlineStr">
        <is>
          <t>Amostral</t>
        </is>
      </c>
      <c r="G1167" s="8" t="n">
        <v>10886.41</v>
      </c>
      <c r="H1167" s="8" t="n">
        <v>10886.41</v>
      </c>
      <c r="I1167" s="8">
        <f>G1167-H1167</f>
        <v/>
      </c>
      <c r="J1167" s="11">
        <f>IF(G1167=0,0,MIN(1,I1167/G1167))</f>
        <v/>
      </c>
    </row>
    <row r="1168">
      <c r="A1168" t="inlineStr">
        <is>
          <t>IMB0517546</t>
        </is>
      </c>
      <c r="B1168" t="inlineStr">
        <is>
          <t>Material poços</t>
        </is>
      </c>
      <c r="C1168" t="inlineStr">
        <is>
          <t>Prio Tigris</t>
        </is>
      </c>
      <c r="D1168" t="inlineStr">
        <is>
          <t>Peregrino</t>
        </is>
      </c>
      <c r="E1168" t="inlineStr">
        <is>
          <t>Mandril de gas lift</t>
        </is>
      </c>
      <c r="F1168" t="inlineStr">
        <is>
          <t>Amostral</t>
        </is>
      </c>
      <c r="G1168" s="8" t="n">
        <v>122039.31</v>
      </c>
      <c r="H1168" s="8" t="n">
        <v>122039.31</v>
      </c>
      <c r="I1168" s="8">
        <f>G1168-H1168</f>
        <v/>
      </c>
      <c r="J1168" s="11">
        <f>IF(G1168=0,0,MIN(1,I1168/G1168))</f>
        <v/>
      </c>
    </row>
    <row r="1169">
      <c r="A1169" t="inlineStr">
        <is>
          <t>IMB0517818</t>
        </is>
      </c>
      <c r="B1169" t="inlineStr">
        <is>
          <t>Direito de uso - Embarcações de Apoio</t>
        </is>
      </c>
      <c r="C1169" t="inlineStr">
        <is>
          <t>Prio Forte</t>
        </is>
      </c>
      <c r="D1169" t="inlineStr">
        <is>
          <t>Peregrino</t>
        </is>
      </c>
      <c r="E1169" t="inlineStr">
        <is>
          <t>Contrato de afretamento - embarcação de apoio</t>
        </is>
      </c>
      <c r="F1169" t="inlineStr">
        <is>
          <t>Amostral</t>
        </is>
      </c>
      <c r="G1169" s="8" t="n">
        <v>12878872</v>
      </c>
      <c r="H1169" s="8" t="n">
        <v>12878872</v>
      </c>
      <c r="I1169" s="8">
        <f>G1169-H1169</f>
        <v/>
      </c>
      <c r="J1169" s="11">
        <f>IF(G1169=0,0,MIN(1,I1169/G1169))</f>
        <v/>
      </c>
    </row>
    <row r="1170">
      <c r="A1170" t="inlineStr">
        <is>
          <t>IMB0517843</t>
        </is>
      </c>
      <c r="B1170" t="inlineStr">
        <is>
          <t>Direito de uso - Embarcações de Apoio</t>
        </is>
      </c>
      <c r="C1170" t="inlineStr">
        <is>
          <t>Prio Forte</t>
        </is>
      </c>
      <c r="D1170" t="inlineStr">
        <is>
          <t>Peregrino</t>
        </is>
      </c>
      <c r="E1170" t="inlineStr">
        <is>
          <t>Contrato de afretamento - embarcação de apoio</t>
        </is>
      </c>
      <c r="F1170" t="inlineStr">
        <is>
          <t>Amostral</t>
        </is>
      </c>
      <c r="G1170" s="8" t="n">
        <v>8550618.699999999</v>
      </c>
      <c r="H1170" s="8" t="n">
        <v>8550618.699999999</v>
      </c>
      <c r="I1170" s="8">
        <f>G1170-H1170</f>
        <v/>
      </c>
      <c r="J1170" s="11">
        <f>IF(G1170=0,0,MIN(1,I1170/G1170))</f>
        <v/>
      </c>
    </row>
    <row r="1171">
      <c r="A1171" t="inlineStr">
        <is>
          <t>IMB0517859</t>
        </is>
      </c>
      <c r="B1171" t="inlineStr">
        <is>
          <t>Direito de uso - Embarcações de Apoio</t>
        </is>
      </c>
      <c r="C1171" t="inlineStr">
        <is>
          <t>Prio Forte</t>
        </is>
      </c>
      <c r="D1171" t="inlineStr">
        <is>
          <t>Albacora Leste</t>
        </is>
      </c>
      <c r="E1171" t="inlineStr">
        <is>
          <t>Contrato de afretamento - embarcação de apoio</t>
        </is>
      </c>
      <c r="F1171" t="inlineStr">
        <is>
          <t>Amostral</t>
        </is>
      </c>
      <c r="G1171" s="8" t="n">
        <v>1525526.96</v>
      </c>
      <c r="H1171" s="8" t="n">
        <v>1525526.96</v>
      </c>
      <c r="I1171" s="8">
        <f>G1171-H1171</f>
        <v/>
      </c>
      <c r="J1171" s="11">
        <f>IF(G1171=0,0,MIN(1,I1171/G1171))</f>
        <v/>
      </c>
    </row>
    <row r="1172">
      <c r="A1172" t="inlineStr">
        <is>
          <t>IMB0517882</t>
        </is>
      </c>
      <c r="B1172" t="inlineStr">
        <is>
          <t>Direito de uso - Embarcações de Apoio</t>
        </is>
      </c>
      <c r="C1172" t="inlineStr">
        <is>
          <t>Prio Forte</t>
        </is>
      </c>
      <c r="D1172" t="inlineStr">
        <is>
          <t>Polvo &amp; TBMT</t>
        </is>
      </c>
      <c r="E1172" t="inlineStr">
        <is>
          <t>Contrato de afretamento - embarcação de apoio</t>
        </is>
      </c>
      <c r="F1172" t="inlineStr">
        <is>
          <t>Amostral</t>
        </is>
      </c>
      <c r="G1172" s="8" t="n">
        <v>396979.55</v>
      </c>
      <c r="H1172" s="8" t="n">
        <v>396979.55</v>
      </c>
      <c r="I1172" s="8">
        <f>G1172-H1172</f>
        <v/>
      </c>
      <c r="J1172" s="11">
        <f>IF(G1172=0,0,MIN(1,I1172/G1172))</f>
        <v/>
      </c>
    </row>
    <row r="1173">
      <c r="A1173" t="inlineStr">
        <is>
          <t>IMB0517906</t>
        </is>
      </c>
      <c r="B1173" t="inlineStr">
        <is>
          <t>Direito de uso - Embarcações de Apoio</t>
        </is>
      </c>
      <c r="C1173" t="inlineStr">
        <is>
          <t>Prio Forte</t>
        </is>
      </c>
      <c r="D1173" t="inlineStr">
        <is>
          <t>Polvo &amp; TBMT</t>
        </is>
      </c>
      <c r="E1173" t="inlineStr">
        <is>
          <t>Contrato de afretamento - embarcação de apoio</t>
        </is>
      </c>
      <c r="F1173" t="inlineStr">
        <is>
          <t>Amostral</t>
        </is>
      </c>
      <c r="G1173" s="8" t="n">
        <v>1064234.58</v>
      </c>
      <c r="H1173" s="8" t="n">
        <v>1064234.58</v>
      </c>
      <c r="I1173" s="8">
        <f>G1173-H1173</f>
        <v/>
      </c>
      <c r="J1173" s="11">
        <f>IF(G1173=0,0,MIN(1,I1173/G1173))</f>
        <v/>
      </c>
    </row>
    <row r="1174">
      <c r="A1174" t="inlineStr">
        <is>
          <t>IMB0517929</t>
        </is>
      </c>
      <c r="B1174" t="inlineStr">
        <is>
          <t>Direito de uso - Helicópteros</t>
        </is>
      </c>
      <c r="C1174" t="inlineStr">
        <is>
          <t>Prio Bravo</t>
        </is>
      </c>
      <c r="D1174" t="inlineStr">
        <is>
          <t>Polvo &amp; TBMT</t>
        </is>
      </c>
      <c r="E1174" t="inlineStr">
        <is>
          <t>Contrato de transporte aéreo - helicóptero</t>
        </is>
      </c>
      <c r="F1174" t="inlineStr">
        <is>
          <t>Amostral</t>
        </is>
      </c>
      <c r="G1174" s="8" t="n">
        <v>2474058.38</v>
      </c>
      <c r="H1174" s="8" t="n">
        <v>2474058.38</v>
      </c>
      <c r="I1174" s="8">
        <f>G1174-H1174</f>
        <v/>
      </c>
      <c r="J1174" s="11">
        <f>IF(G1174=0,0,MIN(1,I1174/G1174))</f>
        <v/>
      </c>
    </row>
    <row r="1175">
      <c r="A1175" t="inlineStr">
        <is>
          <t>IMB0517943</t>
        </is>
      </c>
      <c r="B1175" t="inlineStr">
        <is>
          <t>Direito de uso - Helicópteros</t>
        </is>
      </c>
      <c r="C1175" t="inlineStr">
        <is>
          <t>Prio Bravo</t>
        </is>
      </c>
      <c r="D1175" t="inlineStr">
        <is>
          <t>Albacora Leste</t>
        </is>
      </c>
      <c r="E1175" t="inlineStr">
        <is>
          <t>Contrato de transporte aéreo - helicóptero</t>
        </is>
      </c>
      <c r="F1175" t="inlineStr">
        <is>
          <t>Amostral</t>
        </is>
      </c>
      <c r="G1175" s="8" t="n">
        <v>10204170.43</v>
      </c>
      <c r="H1175" s="8" t="n">
        <v>10204170.43</v>
      </c>
      <c r="I1175" s="8">
        <f>G1175-H1175</f>
        <v/>
      </c>
      <c r="J1175" s="11">
        <f>IF(G1175=0,0,MIN(1,I1175/G1175))</f>
        <v/>
      </c>
    </row>
    <row r="1176">
      <c r="A1176" t="inlineStr">
        <is>
          <t>IMB0517957</t>
        </is>
      </c>
      <c r="B1176" t="inlineStr">
        <is>
          <t>Direito de uso - Helicópteros</t>
        </is>
      </c>
      <c r="C1176" t="inlineStr">
        <is>
          <t>Prio Bravo</t>
        </is>
      </c>
      <c r="D1176" t="inlineStr">
        <is>
          <t>Peregrino</t>
        </is>
      </c>
      <c r="E1176" t="inlineStr">
        <is>
          <t>Contrato de transporte aéreo - helicóptero</t>
        </is>
      </c>
      <c r="F1176" t="inlineStr">
        <is>
          <t>Amostral</t>
        </is>
      </c>
      <c r="G1176" s="8" t="n">
        <v>4487728.19</v>
      </c>
      <c r="H1176" s="8" t="n">
        <v>4487728.19</v>
      </c>
      <c r="I1176" s="8">
        <f>G1176-H1176</f>
        <v/>
      </c>
      <c r="J1176" s="11">
        <f>IF(G1176=0,0,MIN(1,I1176/G1176))</f>
        <v/>
      </c>
    </row>
    <row r="1177">
      <c r="A1177" t="inlineStr">
        <is>
          <t>IMB0517975</t>
        </is>
      </c>
      <c r="B1177" t="inlineStr">
        <is>
          <t>Direito de uso - Helicópteros</t>
        </is>
      </c>
      <c r="C1177" t="inlineStr">
        <is>
          <t>Prio Bravo</t>
        </is>
      </c>
      <c r="D1177" t="inlineStr">
        <is>
          <t>Frade</t>
        </is>
      </c>
      <c r="E1177" t="inlineStr">
        <is>
          <t>Contrato de transporte aéreo - helicóptero</t>
        </is>
      </c>
      <c r="F1177" t="inlineStr">
        <is>
          <t>Amostral</t>
        </is>
      </c>
      <c r="G1177" s="8" t="n">
        <v>2736769.25</v>
      </c>
      <c r="H1177" s="8" t="n">
        <v>2736769.25</v>
      </c>
      <c r="I1177" s="8">
        <f>G1177-H1177</f>
        <v/>
      </c>
      <c r="J1177" s="11">
        <f>IF(G1177=0,0,MIN(1,I1177/G1177))</f>
        <v/>
      </c>
    </row>
    <row r="1178">
      <c r="A1178" t="inlineStr">
        <is>
          <t>IMB0517989</t>
        </is>
      </c>
      <c r="B1178" t="inlineStr">
        <is>
          <t>Direito de uso - Helicópteros</t>
        </is>
      </c>
      <c r="C1178" t="inlineStr">
        <is>
          <t>Prio Bravo</t>
        </is>
      </c>
      <c r="D1178" t="inlineStr">
        <is>
          <t>Frade</t>
        </is>
      </c>
      <c r="E1178" t="inlineStr">
        <is>
          <t>Contrato de transporte aéreo - helicóptero</t>
        </is>
      </c>
      <c r="F1178" t="inlineStr">
        <is>
          <t>Amostral</t>
        </is>
      </c>
      <c r="G1178" s="8" t="n">
        <v>7833425.5</v>
      </c>
      <c r="H1178" s="8" t="n">
        <v>7833425.5</v>
      </c>
      <c r="I1178" s="8">
        <f>G1178-H1178</f>
        <v/>
      </c>
      <c r="J1178" s="11">
        <f>IF(G1178=0,0,MIN(1,I1178/G1178))</f>
        <v/>
      </c>
    </row>
    <row r="1179">
      <c r="A1179" t="inlineStr">
        <is>
          <t>IMB0518001</t>
        </is>
      </c>
      <c r="B1179" t="inlineStr">
        <is>
          <t>Direito de uso - Helicópteros</t>
        </is>
      </c>
      <c r="C1179" t="inlineStr">
        <is>
          <t>Prio Bravo</t>
        </is>
      </c>
      <c r="D1179" t="inlineStr">
        <is>
          <t>Polvo &amp; TBMT</t>
        </is>
      </c>
      <c r="E1179" t="inlineStr">
        <is>
          <t>Contrato de transporte aéreo - helicóptero</t>
        </is>
      </c>
      <c r="F1179" t="inlineStr">
        <is>
          <t>Amostral</t>
        </is>
      </c>
      <c r="G1179" s="8" t="n">
        <v>4753945.21</v>
      </c>
      <c r="H1179" s="8" t="n">
        <v>4753945.21</v>
      </c>
      <c r="I1179" s="8">
        <f>G1179-H1179</f>
        <v/>
      </c>
      <c r="J1179" s="11">
        <f>IF(G1179=0,0,MIN(1,I1179/G1179))</f>
        <v/>
      </c>
    </row>
    <row r="1180">
      <c r="A1180" t="inlineStr">
        <is>
          <t>IMB0518010</t>
        </is>
      </c>
      <c r="B1180" t="inlineStr">
        <is>
          <t>Direito de uso - Helicópteros</t>
        </is>
      </c>
      <c r="C1180" t="inlineStr">
        <is>
          <t>Prio Bravo</t>
        </is>
      </c>
      <c r="D1180" t="inlineStr">
        <is>
          <t>Polvo &amp; TBMT</t>
        </is>
      </c>
      <c r="E1180" t="inlineStr">
        <is>
          <t>Contrato de transporte aéreo - helicóptero</t>
        </is>
      </c>
      <c r="F1180" t="inlineStr">
        <is>
          <t>Amostral</t>
        </is>
      </c>
      <c r="G1180" s="8" t="n">
        <v>13223352.5</v>
      </c>
      <c r="H1180" s="8" t="n">
        <v>13223352.5</v>
      </c>
      <c r="I1180" s="8">
        <f>G1180-H1180</f>
        <v/>
      </c>
      <c r="J1180" s="11">
        <f>IF(G1180=0,0,MIN(1,I1180/G1180))</f>
        <v/>
      </c>
    </row>
    <row r="1181">
      <c r="A1181" t="inlineStr">
        <is>
          <t>IMB0518023</t>
        </is>
      </c>
      <c r="B1181" t="inlineStr">
        <is>
          <t>Direito de uso - Helicópteros</t>
        </is>
      </c>
      <c r="C1181" t="inlineStr">
        <is>
          <t>Prio Bravo</t>
        </is>
      </c>
      <c r="D1181" t="inlineStr">
        <is>
          <t>Albacora Leste</t>
        </is>
      </c>
      <c r="E1181" t="inlineStr">
        <is>
          <t>Contrato de transporte aéreo - helicóptero</t>
        </is>
      </c>
      <c r="F1181" t="inlineStr">
        <is>
          <t>Amostral</t>
        </is>
      </c>
      <c r="G1181" s="8" t="n">
        <v>1116859.43</v>
      </c>
      <c r="H1181" s="8" t="n">
        <v>1116859.43</v>
      </c>
      <c r="I1181" s="8">
        <f>G1181-H1181</f>
        <v/>
      </c>
      <c r="J1181" s="11">
        <f>IF(G1181=0,0,MIN(1,I1181/G1181))</f>
        <v/>
      </c>
    </row>
    <row r="1182">
      <c r="A1182" t="inlineStr">
        <is>
          <t>IMB0518025</t>
        </is>
      </c>
      <c r="B1182" t="inlineStr">
        <is>
          <t>Direito de uso - Helicópteros</t>
        </is>
      </c>
      <c r="C1182" t="inlineStr">
        <is>
          <t>Prio Bravo</t>
        </is>
      </c>
      <c r="D1182" t="inlineStr">
        <is>
          <t>Polvo &amp; TBMT</t>
        </is>
      </c>
      <c r="E1182" t="inlineStr">
        <is>
          <t>Contrato de transporte aéreo - helicóptero</t>
        </is>
      </c>
      <c r="F1182" t="inlineStr">
        <is>
          <t>Amostral</t>
        </is>
      </c>
      <c r="G1182" s="8" t="n">
        <v>16956743.55</v>
      </c>
      <c r="H1182" s="8" t="n">
        <v>16956743.55</v>
      </c>
      <c r="I1182" s="8">
        <f>G1182-H1182</f>
        <v/>
      </c>
      <c r="J1182" s="11">
        <f>IF(G1182=0,0,MIN(1,I1182/G1182))</f>
        <v/>
      </c>
    </row>
    <row r="1183">
      <c r="A1183" t="inlineStr">
        <is>
          <t>IMB0518031</t>
        </is>
      </c>
      <c r="B1183" t="inlineStr">
        <is>
          <t>Direito de uso - Helicópteros</t>
        </is>
      </c>
      <c r="C1183" t="inlineStr">
        <is>
          <t>Prio Bravo</t>
        </is>
      </c>
      <c r="D1183" t="inlineStr">
        <is>
          <t>Peregrino</t>
        </is>
      </c>
      <c r="E1183" t="inlineStr">
        <is>
          <t>Contrato de transporte aéreo - helicóptero</t>
        </is>
      </c>
      <c r="F1183" t="inlineStr">
        <is>
          <t>Amostral</t>
        </is>
      </c>
      <c r="G1183" s="8" t="n">
        <v>3571107.45</v>
      </c>
      <c r="H1183" s="8" t="n">
        <v>3571107.45</v>
      </c>
      <c r="I1183" s="8">
        <f>G1183-H1183</f>
        <v/>
      </c>
      <c r="J1183" s="11">
        <f>IF(G1183=0,0,MIN(1,I1183/G1183))</f>
        <v/>
      </c>
    </row>
    <row r="1184">
      <c r="A1184" t="inlineStr">
        <is>
          <t>IMB0518036</t>
        </is>
      </c>
      <c r="B1184" t="inlineStr">
        <is>
          <t>Direito de uso - Helicópteros</t>
        </is>
      </c>
      <c r="C1184" t="inlineStr">
        <is>
          <t>Prio Bravo</t>
        </is>
      </c>
      <c r="D1184" t="inlineStr">
        <is>
          <t>Peregrino</t>
        </is>
      </c>
      <c r="E1184" t="inlineStr">
        <is>
          <t>Contrato de transporte aéreo - helicóptero</t>
        </is>
      </c>
      <c r="F1184" t="inlineStr">
        <is>
          <t>Amostral</t>
        </is>
      </c>
      <c r="G1184" s="8" t="n">
        <v>17628349.95</v>
      </c>
      <c r="H1184" s="8" t="n">
        <v>17628349.95</v>
      </c>
      <c r="I1184" s="8">
        <f>G1184-H1184</f>
        <v/>
      </c>
      <c r="J1184" s="11">
        <f>IF(G1184=0,0,MIN(1,I1184/G1184))</f>
        <v/>
      </c>
    </row>
    <row r="1185">
      <c r="A1185" t="inlineStr">
        <is>
          <t>IMB0518040</t>
        </is>
      </c>
      <c r="B1185" t="inlineStr">
        <is>
          <t>Direito de uso - Helicópteros</t>
        </is>
      </c>
      <c r="C1185" t="inlineStr">
        <is>
          <t>Prio Bravo</t>
        </is>
      </c>
      <c r="D1185" t="inlineStr">
        <is>
          <t>Frade</t>
        </is>
      </c>
      <c r="E1185" t="inlineStr">
        <is>
          <t>Contrato de transporte aéreo - helicóptero</t>
        </is>
      </c>
      <c r="F1185" t="inlineStr">
        <is>
          <t>Amostral</t>
        </is>
      </c>
      <c r="G1185" s="8" t="n">
        <v>23790238.91</v>
      </c>
      <c r="H1185" s="8" t="n">
        <v>23790238.91</v>
      </c>
      <c r="I1185" s="8">
        <f>G1185-H1185</f>
        <v/>
      </c>
      <c r="J1185" s="11">
        <f>IF(G1185=0,0,MIN(1,I1185/G1185))</f>
        <v/>
      </c>
    </row>
    <row r="1186">
      <c r="A1186" t="inlineStr">
        <is>
          <t>IMB0518051</t>
        </is>
      </c>
      <c r="B1186" t="inlineStr">
        <is>
          <t>Direito de uso - Helicópteros</t>
        </is>
      </c>
      <c r="C1186" t="inlineStr">
        <is>
          <t>Prio Bravo</t>
        </is>
      </c>
      <c r="D1186" t="inlineStr">
        <is>
          <t>Polvo &amp; TBMT</t>
        </is>
      </c>
      <c r="E1186" t="inlineStr">
        <is>
          <t>Contrato de transporte aéreo - helicóptero</t>
        </is>
      </c>
      <c r="F1186" t="inlineStr">
        <is>
          <t>Amostral</t>
        </is>
      </c>
      <c r="G1186" s="8" t="n">
        <v>1009604.17</v>
      </c>
      <c r="H1186" s="8" t="n">
        <v>1009604.17</v>
      </c>
      <c r="I1186" s="8">
        <f>G1186-H1186</f>
        <v/>
      </c>
      <c r="J1186" s="11">
        <f>IF(G1186=0,0,MIN(1,I1186/G1186))</f>
        <v/>
      </c>
    </row>
    <row r="1187">
      <c r="A1187" t="inlineStr">
        <is>
          <t>IMB0518061</t>
        </is>
      </c>
      <c r="B1187" t="inlineStr">
        <is>
          <t>Direito de uso - Helicópteros</t>
        </is>
      </c>
      <c r="C1187" t="inlineStr">
        <is>
          <t>Prio Bravo</t>
        </is>
      </c>
      <c r="D1187" t="inlineStr">
        <is>
          <t>Frade</t>
        </is>
      </c>
      <c r="E1187" t="inlineStr">
        <is>
          <t>Contrato de transporte aéreo - helicóptero</t>
        </is>
      </c>
      <c r="F1187" t="inlineStr">
        <is>
          <t>Amostral</t>
        </is>
      </c>
      <c r="G1187" s="8" t="n">
        <v>4933603.09</v>
      </c>
      <c r="H1187" s="8" t="n">
        <v>4933603.09</v>
      </c>
      <c r="I1187" s="8">
        <f>G1187-H1187</f>
        <v/>
      </c>
      <c r="J1187" s="11">
        <f>IF(G1187=0,0,MIN(1,I1187/G1187))</f>
        <v/>
      </c>
    </row>
    <row r="1188">
      <c r="A1188" t="inlineStr">
        <is>
          <t>IMB0518076</t>
        </is>
      </c>
      <c r="B1188" t="inlineStr">
        <is>
          <t>Direito de uso - Edificações/Bases de Apoio</t>
        </is>
      </c>
      <c r="C1188" t="inlineStr">
        <is>
          <t>PrioOG</t>
        </is>
      </c>
      <c r="D1188" t="inlineStr">
        <is>
          <t>Frade</t>
        </is>
      </c>
      <c r="E1188" t="inlineStr">
        <is>
          <t>Locação de edificação/base de apoio</t>
        </is>
      </c>
      <c r="F1188" t="inlineStr">
        <is>
          <t>Amostral</t>
        </is>
      </c>
      <c r="G1188" s="8" t="n">
        <v>400728.52</v>
      </c>
      <c r="H1188" s="8" t="n">
        <v>400728.52</v>
      </c>
      <c r="I1188" s="8">
        <f>G1188-H1188</f>
        <v/>
      </c>
      <c r="J1188" s="11">
        <f>IF(G1188=0,0,MIN(1,I1188/G1188))</f>
        <v/>
      </c>
    </row>
    <row r="1189">
      <c r="A1189" t="inlineStr">
        <is>
          <t>IMB0518106</t>
        </is>
      </c>
      <c r="B1189" t="inlineStr">
        <is>
          <t>Direito de uso - Edificações/Bases de Apoio</t>
        </is>
      </c>
      <c r="C1189" t="inlineStr">
        <is>
          <t>PrioOG</t>
        </is>
      </c>
      <c r="D1189" t="inlineStr">
        <is>
          <t>Albacora Leste</t>
        </is>
      </c>
      <c r="E1189" t="inlineStr">
        <is>
          <t>Locação de edificação/base de apoio</t>
        </is>
      </c>
      <c r="F1189" t="inlineStr">
        <is>
          <t>Amostral</t>
        </is>
      </c>
      <c r="G1189" s="8" t="n">
        <v>61815.49</v>
      </c>
      <c r="H1189" s="8" t="n">
        <v>61815.49</v>
      </c>
      <c r="I1189" s="8">
        <f>G1189-H1189</f>
        <v/>
      </c>
      <c r="J1189" s="11">
        <f>IF(G1189=0,0,MIN(1,I1189/G1189))</f>
        <v/>
      </c>
    </row>
    <row r="1190">
      <c r="A1190" t="inlineStr">
        <is>
          <t>IMB0518132</t>
        </is>
      </c>
      <c r="B1190" t="inlineStr">
        <is>
          <t>Direito de uso - Equipamentos</t>
        </is>
      </c>
      <c r="C1190" t="inlineStr">
        <is>
          <t>Prio Tigris</t>
        </is>
      </c>
      <c r="D1190" t="inlineStr">
        <is>
          <t>Peregrino</t>
        </is>
      </c>
      <c r="E1190" t="inlineStr">
        <is>
          <t>Locação de equipamento operacional</t>
        </is>
      </c>
      <c r="F1190" t="inlineStr">
        <is>
          <t>Amostral</t>
        </is>
      </c>
      <c r="G1190" s="8" t="n">
        <v>1698401.49</v>
      </c>
      <c r="H1190" s="8" t="n">
        <v>1698401.49</v>
      </c>
      <c r="I1190" s="8">
        <f>G1190-H1190</f>
        <v/>
      </c>
      <c r="J1190" s="11">
        <f>IF(G1190=0,0,MIN(1,I1190/G1190))</f>
        <v/>
      </c>
    </row>
    <row r="1191">
      <c r="A1191" t="inlineStr">
        <is>
          <t>IMB0518179</t>
        </is>
      </c>
      <c r="B1191" t="inlineStr">
        <is>
          <t>Direito de uso - Equipamentos</t>
        </is>
      </c>
      <c r="C1191" t="inlineStr">
        <is>
          <t>Prio Tigris</t>
        </is>
      </c>
      <c r="D1191" t="inlineStr">
        <is>
          <t>Frade</t>
        </is>
      </c>
      <c r="E1191" t="inlineStr">
        <is>
          <t>Locação de equipamento operacional</t>
        </is>
      </c>
      <c r="F1191" t="inlineStr">
        <is>
          <t>Amostral</t>
        </is>
      </c>
      <c r="G1191" s="8" t="n">
        <v>811656</v>
      </c>
      <c r="H1191" s="8" t="n">
        <v>811656</v>
      </c>
      <c r="I1191" s="8">
        <f>G1191-H1191</f>
        <v/>
      </c>
      <c r="J1191" s="11">
        <f>IF(G1191=0,0,MIN(1,I1191/G1191))</f>
        <v/>
      </c>
    </row>
    <row r="1192">
      <c r="A1192" t="inlineStr">
        <is>
          <t>IMB0518232</t>
        </is>
      </c>
      <c r="B1192" t="inlineStr">
        <is>
          <t>Plataforma Peregrino</t>
        </is>
      </c>
      <c r="C1192" t="inlineStr">
        <is>
          <t>Prio Tigris</t>
        </is>
      </c>
      <c r="D1192" t="inlineStr">
        <is>
          <t>Peregrino</t>
        </is>
      </c>
      <c r="E1192" t="inlineStr">
        <is>
          <t>Sistema de medição fiscal</t>
        </is>
      </c>
      <c r="F1192" t="inlineStr">
        <is>
          <t>Amostral</t>
        </is>
      </c>
      <c r="G1192" s="8" t="n">
        <v>10118484.66</v>
      </c>
      <c r="H1192" s="8" t="n">
        <v>0</v>
      </c>
      <c r="I1192" s="8">
        <f>G1192-H1192</f>
        <v/>
      </c>
      <c r="J1192" s="11">
        <f>IF(G1192=0,0,MIN(1,I1192/G1192))</f>
        <v/>
      </c>
    </row>
    <row r="1193">
      <c r="A1193" t="inlineStr">
        <is>
          <t>IMB0518383</t>
        </is>
      </c>
      <c r="B1193" t="inlineStr">
        <is>
          <t>Gastos com Desenvolvimento</t>
        </is>
      </c>
      <c r="C1193" t="inlineStr">
        <is>
          <t>Prio Forte</t>
        </is>
      </c>
      <c r="D1193" t="inlineStr">
        <is>
          <t>Albacora Leste</t>
        </is>
      </c>
      <c r="E1193" t="inlineStr">
        <is>
          <t>Ajuste manual - reclassificação de custo operacional</t>
        </is>
      </c>
      <c r="F1193" t="inlineStr">
        <is>
          <t>Amostral</t>
        </is>
      </c>
      <c r="G1193" s="8" t="n">
        <v>5000000</v>
      </c>
      <c r="H1193" s="8" t="n">
        <v>0</v>
      </c>
      <c r="I1193" s="8">
        <f>G1193-H1193</f>
        <v/>
      </c>
      <c r="J1193" s="11">
        <f>IF(G1193=0,0,MIN(1,I1193/G1193))</f>
        <v/>
      </c>
    </row>
    <row r="1194">
      <c r="A1194" t="inlineStr">
        <is>
          <t>IMB0518385</t>
        </is>
      </c>
      <c r="B1194" t="inlineStr">
        <is>
          <t>Gastos com Desenvolvimento</t>
        </is>
      </c>
      <c r="C1194" t="inlineStr">
        <is>
          <t>Prio Tigris</t>
        </is>
      </c>
      <c r="D1194" t="inlineStr">
        <is>
          <t>Peregrino</t>
        </is>
      </c>
      <c r="E1194" t="inlineStr">
        <is>
          <t>Ajuste manual - reclassificação de custo operacional</t>
        </is>
      </c>
      <c r="F1194" t="inlineStr">
        <is>
          <t>Amostral</t>
        </is>
      </c>
      <c r="G1194" s="8" t="n">
        <v>15000000</v>
      </c>
      <c r="H1194" s="8" t="n">
        <v>0</v>
      </c>
      <c r="I1194" s="8">
        <f>G1194-H1194</f>
        <v/>
      </c>
      <c r="J1194" s="11">
        <f>IF(G1194=0,0,MIN(1,I1194/G1194))</f>
        <v/>
      </c>
    </row>
    <row r="1195">
      <c r="A1195" t="inlineStr">
        <is>
          <t>IMB0518389</t>
        </is>
      </c>
      <c r="B1195" t="inlineStr">
        <is>
          <t>Gastos com Desenvolvimento</t>
        </is>
      </c>
      <c r="C1195" t="inlineStr">
        <is>
          <t>Prio Forte</t>
        </is>
      </c>
      <c r="D1195" t="inlineStr">
        <is>
          <t>Wahoo</t>
        </is>
      </c>
      <c r="E1195" t="inlineStr">
        <is>
          <t>Ajuste manual - reclassificação de custo operacional</t>
        </is>
      </c>
      <c r="F1195" t="inlineStr">
        <is>
          <t>Amostral</t>
        </is>
      </c>
      <c r="G1195" s="8" t="n">
        <v>15000000</v>
      </c>
      <c r="H1195" s="8" t="n">
        <v>0</v>
      </c>
      <c r="I1195" s="8">
        <f>G1195-H1195</f>
        <v/>
      </c>
      <c r="J1195" s="11">
        <f>IF(G1195=0,0,MIN(1,I1195/G1195))</f>
        <v/>
      </c>
    </row>
    <row r="1196">
      <c r="A1196" t="inlineStr">
        <is>
          <t>IMB0518390</t>
        </is>
      </c>
      <c r="B1196" t="inlineStr">
        <is>
          <t>Gastos com Desenvolvimento</t>
        </is>
      </c>
      <c r="C1196" t="inlineStr">
        <is>
          <t>Prio Bravo</t>
        </is>
      </c>
      <c r="D1196" t="inlineStr">
        <is>
          <t>Polvo &amp; TBMT</t>
        </is>
      </c>
      <c r="E1196" t="inlineStr">
        <is>
          <t>Ajuste manual - reclassificação de custo operacional</t>
        </is>
      </c>
      <c r="F1196" t="inlineStr">
        <is>
          <t>Amostral</t>
        </is>
      </c>
      <c r="G1196" s="8" t="n">
        <v>20000000</v>
      </c>
      <c r="H1196" s="8" t="n">
        <v>0</v>
      </c>
      <c r="I1196" s="8">
        <f>G1196-H1196</f>
        <v/>
      </c>
      <c r="J1196" s="11">
        <f>IF(G1196=0,0,MIN(1,I1196/G1196))</f>
        <v/>
      </c>
    </row>
    <row r="1197">
      <c r="A1197" t="inlineStr">
        <is>
          <t>IMB0518392</t>
        </is>
      </c>
      <c r="B1197" t="inlineStr">
        <is>
          <t>Gastos com Desenvolvimento</t>
        </is>
      </c>
      <c r="C1197" t="inlineStr">
        <is>
          <t>Prio Forte</t>
        </is>
      </c>
      <c r="D1197" t="inlineStr">
        <is>
          <t>Albacora Leste</t>
        </is>
      </c>
      <c r="E1197" t="inlineStr">
        <is>
          <t>Ajuste manual - reclassificação de custo operacional</t>
        </is>
      </c>
      <c r="F1197" t="inlineStr">
        <is>
          <t>Amostral</t>
        </is>
      </c>
      <c r="G1197" s="8" t="n">
        <v>15000000</v>
      </c>
      <c r="H1197" s="8" t="n">
        <v>0</v>
      </c>
      <c r="I1197" s="8">
        <f>G1197-H1197</f>
        <v/>
      </c>
      <c r="J1197" s="11">
        <f>IF(G1197=0,0,MIN(1,I1197/G1197))</f>
        <v/>
      </c>
    </row>
    <row r="1198">
      <c r="A1198" t="inlineStr">
        <is>
          <t>IMB0518394</t>
        </is>
      </c>
      <c r="B1198" t="inlineStr">
        <is>
          <t>Gastos com Desenvolvimento</t>
        </is>
      </c>
      <c r="C1198" t="inlineStr">
        <is>
          <t>Prio Forte</t>
        </is>
      </c>
      <c r="D1198" t="inlineStr">
        <is>
          <t>Wahoo</t>
        </is>
      </c>
      <c r="E1198" t="inlineStr">
        <is>
          <t>Ajuste manual - reclassificação de custo operacional</t>
        </is>
      </c>
      <c r="F1198" t="inlineStr">
        <is>
          <t>Amostral</t>
        </is>
      </c>
      <c r="G1198" s="8" t="n">
        <v>10000000</v>
      </c>
      <c r="H1198" s="8" t="n">
        <v>0</v>
      </c>
      <c r="I1198" s="8">
        <f>G1198-H1198</f>
        <v/>
      </c>
      <c r="J1198" s="11">
        <f>IF(G1198=0,0,MIN(1,I1198/G1198))</f>
        <v/>
      </c>
    </row>
    <row r="1199">
      <c r="A1199" t="inlineStr">
        <is>
          <t>IMB0518397</t>
        </is>
      </c>
      <c r="B1199" t="inlineStr">
        <is>
          <t>Gastos com Desenvolvimento</t>
        </is>
      </c>
      <c r="C1199" t="inlineStr">
        <is>
          <t>Prio Tigris</t>
        </is>
      </c>
      <c r="D1199" t="inlineStr">
        <is>
          <t>Peregrino</t>
        </is>
      </c>
      <c r="E1199" t="inlineStr">
        <is>
          <t>Ajuste manual - reclassificação de custo operacional</t>
        </is>
      </c>
      <c r="F1199" t="inlineStr">
        <is>
          <t>Amostral</t>
        </is>
      </c>
      <c r="G1199" s="8" t="n">
        <v>8000000</v>
      </c>
      <c r="H1199" s="8" t="n">
        <v>0</v>
      </c>
      <c r="I1199" s="8">
        <f>G1199-H1199</f>
        <v/>
      </c>
      <c r="J1199" s="11">
        <f>IF(G1199=0,0,MIN(1,I1199/G1199))</f>
        <v/>
      </c>
    </row>
    <row r="1200">
      <c r="A1200" t="inlineStr">
        <is>
          <t>IMB0518399</t>
        </is>
      </c>
      <c r="B1200" t="inlineStr">
        <is>
          <t>Gastos com Desenvolvimento</t>
        </is>
      </c>
      <c r="C1200" t="inlineStr">
        <is>
          <t>Prio Forte</t>
        </is>
      </c>
      <c r="D1200" t="inlineStr">
        <is>
          <t>Wahoo</t>
        </is>
      </c>
      <c r="E1200" t="inlineStr">
        <is>
          <t>Ajuste manual - reclassificação de custo operacional</t>
        </is>
      </c>
      <c r="F1200" t="inlineStr">
        <is>
          <t>Amostral</t>
        </is>
      </c>
      <c r="G1200" s="8" t="n">
        <v>15000000</v>
      </c>
      <c r="H1200" s="8" t="n">
        <v>0</v>
      </c>
      <c r="I1200" s="8">
        <f>G1200-H1200</f>
        <v/>
      </c>
      <c r="J1200" s="11">
        <f>IF(G1200=0,0,MIN(1,I1200/G1200))</f>
        <v/>
      </c>
    </row>
    <row r="1201">
      <c r="A1201" t="inlineStr">
        <is>
          <t>IMB0518402</t>
        </is>
      </c>
      <c r="B1201" t="inlineStr">
        <is>
          <t>Gastos com Desenvolvimento</t>
        </is>
      </c>
      <c r="C1201" t="inlineStr">
        <is>
          <t>Prio Forte</t>
        </is>
      </c>
      <c r="D1201" t="inlineStr">
        <is>
          <t>Frade</t>
        </is>
      </c>
      <c r="E1201" t="inlineStr">
        <is>
          <t>Ajuste manual - reclassificação de custo operacional</t>
        </is>
      </c>
      <c r="F1201" t="inlineStr">
        <is>
          <t>Amostral</t>
        </is>
      </c>
      <c r="G1201" s="8" t="n">
        <v>20000000</v>
      </c>
      <c r="H1201" s="8" t="n">
        <v>0</v>
      </c>
      <c r="I1201" s="8">
        <f>G1201-H1201</f>
        <v/>
      </c>
      <c r="J1201" s="11">
        <f>IF(G1201=0,0,MIN(1,I1201/G1201))</f>
        <v/>
      </c>
    </row>
    <row r="1202">
      <c r="A1202" t="inlineStr">
        <is>
          <t>IMB0518403</t>
        </is>
      </c>
      <c r="B1202" t="inlineStr">
        <is>
          <t>Gastos com Desenvolvimento</t>
        </is>
      </c>
      <c r="C1202" t="inlineStr">
        <is>
          <t>Prio Tigris</t>
        </is>
      </c>
      <c r="D1202" t="inlineStr">
        <is>
          <t>Peregrino</t>
        </is>
      </c>
      <c r="E1202" t="inlineStr">
        <is>
          <t>Ajuste manual - reclassificação de custo operacional</t>
        </is>
      </c>
      <c r="F1202" t="inlineStr">
        <is>
          <t>Amostral</t>
        </is>
      </c>
      <c r="G1202" s="8" t="n">
        <v>15000000</v>
      </c>
      <c r="H1202" s="8" t="n">
        <v>0</v>
      </c>
      <c r="I1202" s="8">
        <f>G1202-H1202</f>
        <v/>
      </c>
      <c r="J1202" s="11">
        <f>IF(G1202=0,0,MIN(1,I1202/G1202))</f>
        <v/>
      </c>
    </row>
    <row r="1203">
      <c r="A1203" t="inlineStr">
        <is>
          <t>IMB0518405</t>
        </is>
      </c>
      <c r="B1203" t="inlineStr">
        <is>
          <t>Gastos com Desenvolvimento</t>
        </is>
      </c>
      <c r="C1203" t="inlineStr">
        <is>
          <t>Prio Forte</t>
        </is>
      </c>
      <c r="D1203" t="inlineStr">
        <is>
          <t>Frade</t>
        </is>
      </c>
      <c r="E1203" t="inlineStr">
        <is>
          <t>Ajuste manual - reclassificação de custo operacional</t>
        </is>
      </c>
      <c r="F1203" t="inlineStr">
        <is>
          <t>Amostral</t>
        </is>
      </c>
      <c r="G1203" s="8" t="n">
        <v>15000000</v>
      </c>
      <c r="H1203" s="8" t="n">
        <v>0</v>
      </c>
      <c r="I1203" s="8">
        <f>G1203-H1203</f>
        <v/>
      </c>
      <c r="J1203" s="11">
        <f>IF(G1203=0,0,MIN(1,I1203/G1203))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6" customWidth="1" min="4" max="4"/>
    <col width="8" customWidth="1" min="5" max="5"/>
    <col width="8" customWidth="1" min="6" max="6"/>
    <col width="8" customWidth="1" min="7" max="7"/>
    <col width="12" customWidth="1" min="8" max="8"/>
    <col width="18" customWidth="1" min="9" max="9"/>
    <col width="18" customWidth="1" min="10" max="10"/>
  </cols>
  <sheetData>
    <row r="1">
      <c r="A1" s="1" t="inlineStr">
        <is>
          <t>Avaliação: projeção e limite superior de distorção (Stringer / Poisson 95%)</t>
        </is>
      </c>
    </row>
    <row r="2">
      <c r="A2" t="inlineStr">
        <is>
          <t>Norma: NBC TA 530 itens 14-15, A21-A23 | Preparador: Matrícula 231019943 | Data: 23/10/2026 | Revisão: ________ (campo em branco)</t>
        </is>
      </c>
    </row>
    <row r="3">
      <c r="A3" s="2" t="inlineStr">
        <is>
          <t>Células amarelas = premissas editáveis; demais valores são fórmulas.  *** DADOS SINTÉTICOS PARA FINS DIDÁTICOS ***</t>
        </is>
      </c>
    </row>
    <row r="5">
      <c r="A5" t="inlineStr">
        <is>
          <t>Intervalo J</t>
        </is>
      </c>
      <c r="B5" s="8">
        <f>Parametros_MUS!B14</f>
        <v/>
      </c>
    </row>
    <row r="7">
      <c r="A7" s="10" t="inlineStr">
        <is>
          <t>id_registro</t>
        </is>
      </c>
      <c r="B7" s="10" t="inlineStr">
        <is>
          <t>estrato</t>
        </is>
      </c>
      <c r="C7" s="10" t="inlineStr">
        <is>
          <t>valor_contabil</t>
        </is>
      </c>
      <c r="D7" s="10" t="inlineStr">
        <is>
          <t>distorcao</t>
        </is>
      </c>
      <c r="E7" s="10" t="inlineStr">
        <is>
          <t>taint</t>
        </is>
      </c>
      <c r="F7" s="10" t="inlineStr">
        <is>
          <t>fator k</t>
        </is>
      </c>
      <c r="G7" s="10" t="inlineStr">
        <is>
          <t>fator k-1</t>
        </is>
      </c>
      <c r="H7" s="10" t="inlineStr">
        <is>
          <t>incremento (fk - fk-1 - 1)</t>
        </is>
      </c>
      <c r="I7" s="10" t="inlineStr">
        <is>
          <t>distorção projetada</t>
        </is>
      </c>
      <c r="J7" s="10" t="inlineStr">
        <is>
          <t>provisão incremental</t>
        </is>
      </c>
    </row>
    <row r="8">
      <c r="A8" t="inlineStr">
        <is>
          <t>IMB0518232</t>
        </is>
      </c>
      <c r="B8" t="inlineStr">
        <is>
          <t>Amostral</t>
        </is>
      </c>
      <c r="C8" s="8" t="n">
        <v>10118484.66</v>
      </c>
      <c r="D8" s="8" t="n">
        <v>10118484.66</v>
      </c>
      <c r="E8" s="11">
        <f>MIN(1,D8/C8)</f>
        <v/>
      </c>
      <c r="F8" t="n">
        <v>4.75</v>
      </c>
      <c r="G8" t="n">
        <v>3</v>
      </c>
      <c r="H8">
        <f>F8-G8-1</f>
        <v/>
      </c>
      <c r="I8" s="8">
        <f>E8*$B$5</f>
        <v/>
      </c>
      <c r="J8" s="8">
        <f>H8*E8*$B$5</f>
        <v/>
      </c>
    </row>
    <row r="9">
      <c r="A9" t="inlineStr">
        <is>
          <t>IMB0518385</t>
        </is>
      </c>
      <c r="B9" t="inlineStr">
        <is>
          <t>Amostral</t>
        </is>
      </c>
      <c r="C9" s="8" t="n">
        <v>15000000</v>
      </c>
      <c r="D9" s="8" t="n">
        <v>15000000</v>
      </c>
      <c r="E9" s="11">
        <f>MIN(1,D9/C9)</f>
        <v/>
      </c>
      <c r="F9" t="n">
        <v>6.3</v>
      </c>
      <c r="G9" t="n">
        <v>4.75</v>
      </c>
      <c r="H9">
        <f>F9-G9-1</f>
        <v/>
      </c>
      <c r="I9" s="8">
        <f>E9*$B$5</f>
        <v/>
      </c>
      <c r="J9" s="8">
        <f>H9*E9*$B$5</f>
        <v/>
      </c>
    </row>
    <row r="10">
      <c r="A10" t="inlineStr">
        <is>
          <t>IMB0518383</t>
        </is>
      </c>
      <c r="B10" t="inlineStr">
        <is>
          <t>Amostral</t>
        </is>
      </c>
      <c r="C10" s="8" t="n">
        <v>5000000</v>
      </c>
      <c r="D10" s="8" t="n">
        <v>5000000</v>
      </c>
      <c r="E10" s="11">
        <f>MIN(1,D10/C10)</f>
        <v/>
      </c>
      <c r="F10" t="n">
        <v>7.76</v>
      </c>
      <c r="G10" t="n">
        <v>6.3</v>
      </c>
      <c r="H10">
        <f>F10-G10-1</f>
        <v/>
      </c>
      <c r="I10" s="8">
        <f>E10*$B$5</f>
        <v/>
      </c>
      <c r="J10" s="8">
        <f>H10*E10*$B$5</f>
        <v/>
      </c>
    </row>
    <row r="11">
      <c r="A11" t="inlineStr">
        <is>
          <t>IMB0518389</t>
        </is>
      </c>
      <c r="B11" t="inlineStr">
        <is>
          <t>Amostral</t>
        </is>
      </c>
      <c r="C11" s="8" t="n">
        <v>15000000</v>
      </c>
      <c r="D11" s="8" t="n">
        <v>15000000</v>
      </c>
      <c r="E11" s="11">
        <f>MIN(1,D11/C11)</f>
        <v/>
      </c>
      <c r="F11" t="n">
        <v>9.16</v>
      </c>
      <c r="G11" t="n">
        <v>7.76</v>
      </c>
      <c r="H11">
        <f>F11-G11-1</f>
        <v/>
      </c>
      <c r="I11" s="8">
        <f>E11*$B$5</f>
        <v/>
      </c>
      <c r="J11" s="8">
        <f>H11*E11*$B$5</f>
        <v/>
      </c>
    </row>
    <row r="12">
      <c r="A12" t="inlineStr">
        <is>
          <t>IMB0518390</t>
        </is>
      </c>
      <c r="B12" t="inlineStr">
        <is>
          <t>Amostral</t>
        </is>
      </c>
      <c r="C12" s="8" t="n">
        <v>20000000</v>
      </c>
      <c r="D12" s="8" t="n">
        <v>20000000</v>
      </c>
      <c r="E12" s="11">
        <f>MIN(1,D12/C12)</f>
        <v/>
      </c>
      <c r="F12" t="n">
        <v>10.52</v>
      </c>
      <c r="G12" t="n">
        <v>9.16</v>
      </c>
      <c r="H12">
        <f>F12-G12-1</f>
        <v/>
      </c>
      <c r="I12" s="8">
        <f>E12*$B$5</f>
        <v/>
      </c>
      <c r="J12" s="8">
        <f>H12*E12*$B$5</f>
        <v/>
      </c>
    </row>
    <row r="13">
      <c r="A13" t="inlineStr">
        <is>
          <t>IMB0518399</t>
        </is>
      </c>
      <c r="B13" t="inlineStr">
        <is>
          <t>Amostral</t>
        </is>
      </c>
      <c r="C13" s="8" t="n">
        <v>15000000</v>
      </c>
      <c r="D13" s="8" t="n">
        <v>15000000</v>
      </c>
      <c r="E13" s="11">
        <f>MIN(1,D13/C13)</f>
        <v/>
      </c>
      <c r="F13" t="n">
        <v>11.85</v>
      </c>
      <c r="G13" t="n">
        <v>10.52</v>
      </c>
      <c r="H13">
        <f>F13-G13-1</f>
        <v/>
      </c>
      <c r="I13" s="8">
        <f>E13*$B$5</f>
        <v/>
      </c>
      <c r="J13" s="8">
        <f>H13*E13*$B$5</f>
        <v/>
      </c>
    </row>
    <row r="14">
      <c r="A14" t="inlineStr">
        <is>
          <t>IMB0518392</t>
        </is>
      </c>
      <c r="B14" t="inlineStr">
        <is>
          <t>Amostral</t>
        </is>
      </c>
      <c r="C14" s="8" t="n">
        <v>15000000</v>
      </c>
      <c r="D14" s="8" t="n">
        <v>15000000</v>
      </c>
      <c r="E14" s="11">
        <f>MIN(1,D14/C14)</f>
        <v/>
      </c>
      <c r="F14" t="n">
        <v>13.15</v>
      </c>
      <c r="G14" t="n">
        <v>11.85</v>
      </c>
      <c r="H14">
        <f>F14-G14-1</f>
        <v/>
      </c>
      <c r="I14" s="8">
        <f>E14*$B$5</f>
        <v/>
      </c>
      <c r="J14" s="8">
        <f>H14*E14*$B$5</f>
        <v/>
      </c>
    </row>
    <row r="15">
      <c r="A15" t="inlineStr">
        <is>
          <t>IMB0518394</t>
        </is>
      </c>
      <c r="B15" t="inlineStr">
        <is>
          <t>Amostral</t>
        </is>
      </c>
      <c r="C15" s="8" t="n">
        <v>10000000</v>
      </c>
      <c r="D15" s="8" t="n">
        <v>10000000</v>
      </c>
      <c r="E15" s="11">
        <f>MIN(1,D15/C15)</f>
        <v/>
      </c>
      <c r="F15" t="n">
        <v>14.44</v>
      </c>
      <c r="G15" t="n">
        <v>13.15</v>
      </c>
      <c r="H15">
        <f>F15-G15-1</f>
        <v/>
      </c>
      <c r="I15" s="8">
        <f>E15*$B$5</f>
        <v/>
      </c>
      <c r="J15" s="8">
        <f>H15*E15*$B$5</f>
        <v/>
      </c>
    </row>
    <row r="16">
      <c r="A16" t="inlineStr">
        <is>
          <t>IMB0518397</t>
        </is>
      </c>
      <c r="B16" t="inlineStr">
        <is>
          <t>Amostral</t>
        </is>
      </c>
      <c r="C16" s="8" t="n">
        <v>8000000</v>
      </c>
      <c r="D16" s="8" t="n">
        <v>8000000</v>
      </c>
      <c r="E16" s="11">
        <f>MIN(1,D16/C16)</f>
        <v/>
      </c>
      <c r="F16" t="n">
        <v>15.71</v>
      </c>
      <c r="G16" t="n">
        <v>14.44</v>
      </c>
      <c r="H16">
        <f>F16-G16-1</f>
        <v/>
      </c>
      <c r="I16" s="8">
        <f>E16*$B$5</f>
        <v/>
      </c>
      <c r="J16" s="8">
        <f>H16*E16*$B$5</f>
        <v/>
      </c>
    </row>
    <row r="17">
      <c r="A17" t="inlineStr">
        <is>
          <t>IMB0518403</t>
        </is>
      </c>
      <c r="B17" t="inlineStr">
        <is>
          <t>Amostral</t>
        </is>
      </c>
      <c r="C17" s="8" t="n">
        <v>15000000</v>
      </c>
      <c r="D17" s="8" t="n">
        <v>15000000</v>
      </c>
      <c r="E17" s="11">
        <f>MIN(1,D17/C17)</f>
        <v/>
      </c>
      <c r="F17" t="n">
        <v>16.97</v>
      </c>
      <c r="G17" t="n">
        <v>15.71</v>
      </c>
      <c r="H17">
        <f>F17-G17-1</f>
        <v/>
      </c>
      <c r="I17" s="8">
        <f>E17*$B$5</f>
        <v/>
      </c>
      <c r="J17" s="8">
        <f>H17*E17*$B$5</f>
        <v/>
      </c>
    </row>
    <row r="18">
      <c r="A18" t="inlineStr">
        <is>
          <t>IMB0518402</t>
        </is>
      </c>
      <c r="B18" t="inlineStr">
        <is>
          <t>Amostral</t>
        </is>
      </c>
      <c r="C18" s="8" t="n">
        <v>20000000</v>
      </c>
      <c r="D18" s="8" t="n">
        <v>20000000</v>
      </c>
      <c r="E18" s="11">
        <f>MIN(1,D18/C18)</f>
        <v/>
      </c>
      <c r="F18" t="n">
        <v>18.21</v>
      </c>
      <c r="G18" t="n">
        <v>16.97</v>
      </c>
      <c r="H18">
        <f>F18-G18-1</f>
        <v/>
      </c>
      <c r="I18" s="8">
        <f>E18*$B$5</f>
        <v/>
      </c>
      <c r="J18" s="8">
        <f>H18*E18*$B$5</f>
        <v/>
      </c>
    </row>
    <row r="19">
      <c r="A19" t="inlineStr">
        <is>
          <t>IMB0518405</t>
        </is>
      </c>
      <c r="B19" t="inlineStr">
        <is>
          <t>Amostral</t>
        </is>
      </c>
      <c r="C19" s="8" t="n">
        <v>15000000</v>
      </c>
      <c r="D19" s="8" t="n">
        <v>15000000</v>
      </c>
      <c r="E19" s="11">
        <f>MIN(1,D19/C19)</f>
        <v/>
      </c>
      <c r="F19" t="n">
        <v>19.45</v>
      </c>
      <c r="G19" t="n">
        <v>18.21</v>
      </c>
      <c r="H19">
        <f>F19-G19-1</f>
        <v/>
      </c>
      <c r="I19" s="8">
        <f>E19*$B$5</f>
        <v/>
      </c>
      <c r="J19" s="8">
        <f>H19*E19*$B$5</f>
        <v/>
      </c>
    </row>
    <row r="20">
      <c r="A20" t="inlineStr">
        <is>
          <t>IMB0444976</t>
        </is>
      </c>
      <c r="B20" t="inlineStr">
        <is>
          <t>Amostral</t>
        </is>
      </c>
      <c r="C20" s="8" t="n">
        <v>697452.6899999999</v>
      </c>
      <c r="D20" s="8" t="n">
        <v>628343.37</v>
      </c>
      <c r="E20" s="11">
        <f>MIN(1,D20/C20)</f>
        <v/>
      </c>
      <c r="F20" t="n">
        <v>20.67</v>
      </c>
      <c r="G20" t="n">
        <v>19.45</v>
      </c>
      <c r="H20">
        <f>F20-G20-1</f>
        <v/>
      </c>
      <c r="I20" s="8">
        <f>E20*$B$5</f>
        <v/>
      </c>
      <c r="J20" s="8">
        <f>H20*E20*$B$5</f>
        <v/>
      </c>
    </row>
    <row r="22">
      <c r="A22" s="7" t="inlineStr">
        <is>
          <t>Precisão básica = FC x J</t>
        </is>
      </c>
      <c r="B22" s="8">
        <f>3*$B$5</f>
        <v/>
      </c>
    </row>
    <row r="23">
      <c r="A23" s="7" t="inlineStr">
        <is>
          <t>Distorção projetada</t>
        </is>
      </c>
      <c r="B23" s="8">
        <f>SUM(I8:I20)</f>
        <v/>
      </c>
    </row>
    <row r="24">
      <c r="A24" s="7" t="inlineStr">
        <is>
          <t>Provisão incremental</t>
        </is>
      </c>
      <c r="B24" s="8">
        <f>SUM(J8:J20)</f>
        <v/>
      </c>
    </row>
    <row r="25">
      <c r="A25" s="7" t="inlineStr">
        <is>
          <t>Limite superior de distorção (LSD)</t>
        </is>
      </c>
      <c r="B25" s="8">
        <f>B22+B23+B24</f>
        <v/>
      </c>
    </row>
    <row r="26">
      <c r="A26" s="7" t="inlineStr">
        <is>
          <t>Distorção tolerável</t>
        </is>
      </c>
      <c r="B26" s="8">
        <f>Parametros_MUS!B9</f>
        <v/>
      </c>
    </row>
    <row r="27">
      <c r="A27" s="7" t="inlineStr">
        <is>
          <t>Conclusão</t>
        </is>
      </c>
      <c r="B27" s="8">
        <f>IF(B25&gt;B26,"Rejeitar: LSD &gt; tolerável","Aceitar")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55" customWidth="1" min="1" max="1"/>
  </cols>
  <sheetData>
    <row r="1">
      <c r="A1" s="1" t="inlineStr">
        <is>
          <t>Amostragem por atributos - controle de aprovação (segregação e alçada)</t>
        </is>
      </c>
    </row>
    <row r="2">
      <c r="A2" t="inlineStr">
        <is>
          <t>Norma: NBC TA 530 / NBC TA 330 itens 8-17 | Preparador: Matrícula 231019943 | Data: 23/10/2026 | Revisão: ________ (campo em branco)</t>
        </is>
      </c>
    </row>
    <row r="3">
      <c r="A3" s="2" t="inlineStr">
        <is>
          <t>Células amarelas = premissas editáveis; demais valores são fórmulas.  *** DADOS SINTÉTICOS PARA FINS DIDÁTICOS ***</t>
        </is>
      </c>
    </row>
    <row r="5">
      <c r="A5" t="inlineStr">
        <is>
          <t>População</t>
        </is>
      </c>
      <c r="B5" s="4" t="n">
        <v>518405</v>
      </c>
    </row>
    <row r="6">
      <c r="A6" t="inlineStr">
        <is>
          <t>Confiança</t>
        </is>
      </c>
      <c r="B6" s="5" t="n">
        <v>0.95</v>
      </c>
    </row>
    <row r="7">
      <c r="A7" t="inlineStr">
        <is>
          <t>Taxa tolerável de desvio</t>
        </is>
      </c>
      <c r="B7" s="5" t="n">
        <v>0.05</v>
      </c>
    </row>
    <row r="8">
      <c r="A8" t="inlineStr">
        <is>
          <t>Taxa esperada de desvio</t>
        </is>
      </c>
      <c r="B8" s="5" t="n">
        <v>0.005</v>
      </c>
    </row>
    <row r="9">
      <c r="A9" t="inlineStr">
        <is>
          <t>Tamanho da amostra (tabela AICPA)</t>
        </is>
      </c>
      <c r="B9" s="4" t="n">
        <v>93</v>
      </c>
    </row>
    <row r="10">
      <c r="A10" t="inlineStr">
        <is>
          <t>Desvios encontrados</t>
        </is>
      </c>
      <c r="B10" s="4" t="n">
        <v>0</v>
      </c>
    </row>
    <row r="11">
      <c r="A11" s="7" t="inlineStr">
        <is>
          <t>Limite superior de desvio = fator Poisson(k)/n</t>
        </is>
      </c>
      <c r="B11" s="12">
        <f>IF(B10=0,3,IF(B10=1,4.75,IF(B10=2,6.3,IF(B10=3,7.76,9.16))))/B9</f>
        <v/>
      </c>
    </row>
    <row r="12">
      <c r="A12" s="7" t="inlineStr">
        <is>
          <t>Conclusão</t>
        </is>
      </c>
      <c r="B12">
        <f>IF(B11&lt;=B7,"Controle efetivo","Controle não efetivo")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2026-10-24T15:46:18Z</dcterms:created>
  <dcterms:modified xmlns:dcterms="http://purl.org/dc/terms/" xmlns:xsi="http://www.w3.org/2001/XMLSchema-instance" xsi:type="dcterms:W3CDTF">2026-10-24T15:46:18Z</dcterms:modified>
</cp:coreProperties>
</file>