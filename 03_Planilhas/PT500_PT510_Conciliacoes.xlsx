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_x_Demonstracoes" sheetId="1" state="visible" r:id="rId1"/>
    <sheet xmlns:r="http://schemas.openxmlformats.org/officeDocument/2006/relationships" name="Base_SINTETICA_x_NE8" sheetId="2" state="visible" r:id="rId2"/>
    <sheet xmlns:r="http://schemas.openxmlformats.org/officeDocument/2006/relationships" name="PT510_Saldos_Inici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;[Red]-#,##0.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18" customWidth="1" min="3" max="3"/>
    <col width="24" customWidth="1" min="4" max="4"/>
    <col width="18" customWidth="1" min="5" max="5"/>
    <col width="14" customWidth="1" min="6" max="6"/>
    <col width="30" customWidth="1" min="7" max="7"/>
    <col width="80" customWidth="1" min="8" max="8"/>
  </cols>
  <sheetData>
    <row r="1">
      <c r="A1" s="1" t="inlineStr">
        <is>
          <t>PT 500 - Reconciliação das notas explicativas com as demonstrações (R$ mil)</t>
        </is>
      </c>
    </row>
    <row r="2">
      <c r="A2" t="inlineStr">
        <is>
          <t>Norma: NBC TA 500 (R1) itens 6-11, A31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Item</t>
        </is>
      </c>
      <c r="B5" s="2" t="inlineStr">
        <is>
          <t>Ref. demonstração</t>
        </is>
      </c>
      <c r="C5" s="2" t="inlineStr">
        <is>
          <t>Valor demonstração</t>
        </is>
      </c>
      <c r="D5" s="2" t="inlineStr">
        <is>
          <t>Ref. nota</t>
        </is>
      </c>
      <c r="E5" s="2" t="inlineStr">
        <is>
          <t>Valor nota</t>
        </is>
      </c>
      <c r="F5" s="2" t="inlineStr">
        <is>
          <t>Diferença</t>
        </is>
      </c>
      <c r="G5" s="2" t="inlineStr">
        <is>
          <t>Situação</t>
        </is>
      </c>
      <c r="H5" s="2" t="inlineStr">
        <is>
          <t>Explicação</t>
        </is>
      </c>
    </row>
    <row r="6">
      <c r="A6" t="inlineStr">
        <is>
          <t>Caixa e equivalentes</t>
        </is>
      </c>
      <c r="B6" t="inlineStr">
        <is>
          <t>BP 1.01.01</t>
        </is>
      </c>
      <c r="C6" s="3" t="n">
        <v>3398291</v>
      </c>
      <c r="D6" t="inlineStr">
        <is>
          <t>NE 3 (p. 62)</t>
        </is>
      </c>
      <c r="E6" s="3" t="n">
        <v>3398291</v>
      </c>
      <c r="F6" s="3">
        <f>C6-E6</f>
        <v/>
      </c>
      <c r="G6">
        <f>IF(ABS(F6)&lt;1,"Conciliado",IF(ABS(F6)&lt;=7750,"Trivial","Investigar"))</f>
        <v/>
      </c>
      <c r="H6" t="inlineStr"/>
    </row>
    <row r="7">
      <c r="A7" t="inlineStr">
        <is>
          <t>Contas a receber</t>
        </is>
      </c>
      <c r="B7" t="inlineStr">
        <is>
          <t>BP 1.01.03</t>
        </is>
      </c>
      <c r="C7" s="3" t="n">
        <v>1690100</v>
      </c>
      <c r="D7" t="inlineStr">
        <is>
          <t>NE 4 (p. 63)</t>
        </is>
      </c>
      <c r="E7" s="3" t="n">
        <v>1690100</v>
      </c>
      <c r="F7" s="3">
        <f>C7-E7</f>
        <v/>
      </c>
      <c r="G7">
        <f>IF(ABS(F7)&lt;1,"Conciliado",IF(ABS(F7)&lt;=7750,"Trivial","Investigar"))</f>
        <v/>
      </c>
      <c r="H7" t="inlineStr"/>
    </row>
    <row r="8">
      <c r="A8" t="inlineStr">
        <is>
          <t>Imobilizado (NE 8 + direito de uso NE 15)</t>
        </is>
      </c>
      <c r="B8" t="inlineStr">
        <is>
          <t>BP 1.02.03</t>
        </is>
      </c>
      <c r="C8" s="3" t="n">
        <v>31142804</v>
      </c>
      <c r="D8" t="inlineStr">
        <is>
          <t>NE 8 e 15 (p. 67 e 80)</t>
        </is>
      </c>
      <c r="E8" s="3" t="n">
        <v>31142804</v>
      </c>
      <c r="F8" s="3">
        <f>C8-E8</f>
        <v/>
      </c>
      <c r="G8">
        <f>IF(ABS(F8)&lt;1,"Conciliado",IF(ABS(F8)&lt;=7750,"Trivial","Investigar"))</f>
        <v/>
      </c>
      <c r="H8" t="inlineStr"/>
    </row>
    <row r="9">
      <c r="A9" t="inlineStr">
        <is>
          <t>Direito de uso</t>
        </is>
      </c>
      <c r="B9" t="inlineStr">
        <is>
          <t>BP 1.02.03.02</t>
        </is>
      </c>
      <c r="C9" s="3" t="n">
        <v>610400</v>
      </c>
      <c r="D9" t="inlineStr">
        <is>
          <t>NE 15 (p. 80)</t>
        </is>
      </c>
      <c r="E9" s="3" t="n">
        <v>610400</v>
      </c>
      <c r="F9" s="3">
        <f>C9-E9</f>
        <v/>
      </c>
      <c r="G9">
        <f>IF(ABS(F9)&lt;1,"Conciliado",IF(ABS(F9)&lt;=7750,"Trivial","Investigar"))</f>
        <v/>
      </c>
      <c r="H9" t="inlineStr"/>
    </row>
    <row r="10">
      <c r="A10" t="inlineStr">
        <is>
          <t>Imobilizado em andamento</t>
        </is>
      </c>
      <c r="B10" t="inlineStr">
        <is>
          <t>BP 1.02.03.03</t>
        </is>
      </c>
      <c r="C10" s="3" t="n">
        <v>10004506</v>
      </c>
      <c r="D10" t="inlineStr">
        <is>
          <t>NE 8 (p. 67)</t>
        </is>
      </c>
      <c r="E10" s="3" t="n">
        <v>10004506</v>
      </c>
      <c r="F10" s="3">
        <f>C10-E10</f>
        <v/>
      </c>
      <c r="G10">
        <f>IF(ABS(F10)&lt;1,"Conciliado",IF(ABS(F10)&lt;=7750,"Trivial","Investigar"))</f>
        <v/>
      </c>
      <c r="H10" t="inlineStr"/>
    </row>
    <row r="11">
      <c r="A11" t="inlineStr">
        <is>
          <t>Intangível</t>
        </is>
      </c>
      <c r="B11" t="inlineStr">
        <is>
          <t>BP 1.02.04</t>
        </is>
      </c>
      <c r="C11" s="3" t="n">
        <v>15038640</v>
      </c>
      <c r="D11" t="inlineStr">
        <is>
          <t>NE 9 (p. 69)</t>
        </is>
      </c>
      <c r="E11" s="3" t="n">
        <v>15038640</v>
      </c>
      <c r="F11" s="3">
        <f>C11-E11</f>
        <v/>
      </c>
      <c r="G11">
        <f>IF(ABS(F11)&lt;1,"Conciliado",IF(ABS(F11)&lt;=7750,"Trivial","Investigar"))</f>
        <v/>
      </c>
      <c r="H11" t="inlineStr"/>
    </row>
    <row r="12">
      <c r="A12" t="inlineStr">
        <is>
          <t>IR/CS diferido ativo</t>
        </is>
      </c>
      <c r="B12" t="inlineStr">
        <is>
          <t>BP 1.02.01.07</t>
        </is>
      </c>
      <c r="C12" s="3" t="n">
        <v>8121172</v>
      </c>
      <c r="D12" t="inlineStr">
        <is>
          <t>NE 16 (p. 83)</t>
        </is>
      </c>
      <c r="E12" s="3" t="n">
        <v>8121172</v>
      </c>
      <c r="F12" s="3">
        <f>C12-E12</f>
        <v/>
      </c>
      <c r="G12">
        <f>IF(ABS(F12)&lt;1,"Conciliado",IF(ABS(F12)&lt;=7750,"Trivial","Investigar"))</f>
        <v/>
      </c>
      <c r="H12" t="inlineStr"/>
    </row>
    <row r="13">
      <c r="A13" t="inlineStr">
        <is>
          <t>Empréstimos (circ. + não circ., sem debêntures e arrend.)</t>
        </is>
      </c>
      <c r="B13" t="inlineStr">
        <is>
          <t>BP 2.01.04.01 + 2.02.01.01</t>
        </is>
      </c>
      <c r="C13" s="3" t="n">
        <v>17167620</v>
      </c>
      <c r="D13" t="inlineStr">
        <is>
          <t>NE 13 (p. 73)</t>
        </is>
      </c>
      <c r="E13" s="3" t="n">
        <v>17167620</v>
      </c>
      <c r="F13" s="3">
        <f>C13-E13</f>
        <v/>
      </c>
      <c r="G13">
        <f>IF(ABS(F13)&lt;1,"Conciliado",IF(ABS(F13)&lt;=7750,"Trivial","Investigar"))</f>
        <v/>
      </c>
      <c r="H13" t="inlineStr"/>
    </row>
    <row r="14">
      <c r="A14" t="inlineStr">
        <is>
          <t>Debêntures (inclui MTM swap)</t>
        </is>
      </c>
      <c r="B14" t="inlineStr">
        <is>
          <t>BP 2.01.04.02 + 2.02.01.02</t>
        </is>
      </c>
      <c r="C14" s="3" t="n">
        <v>10625812</v>
      </c>
      <c r="D14" t="inlineStr">
        <is>
          <t>NE 14 (p. 79)</t>
        </is>
      </c>
      <c r="E14" s="3" t="n">
        <v>10614792</v>
      </c>
      <c r="F14" s="3">
        <f>C14-E14</f>
        <v/>
      </c>
      <c r="G14">
        <f>IF(ABS(F14)&lt;1,"Conciliado",IF(ABS(F14)&lt;=7750,"Trivial","Investigar"))</f>
        <v/>
      </c>
      <c r="H14" t="inlineStr">
        <is>
          <t>Explicada: MTM do swap do empréstimo XP (R$ 11.027 mil, NE 13 p. 76) apresentado na linha de debêntures do BP; resíduo de R$ 7 mil = arredondamento</t>
        </is>
      </c>
    </row>
    <row r="15">
      <c r="A15" t="inlineStr">
        <is>
          <t>Passivo de arrendamento</t>
        </is>
      </c>
      <c r="B15" t="inlineStr">
        <is>
          <t>BP 2.01.04.03 + 2.02.01.03</t>
        </is>
      </c>
      <c r="C15" s="3" t="n">
        <v>644854</v>
      </c>
      <c r="D15" t="inlineStr">
        <is>
          <t>NE 15 (p. 80)</t>
        </is>
      </c>
      <c r="E15" s="3" t="n">
        <v>644854</v>
      </c>
      <c r="F15" s="3">
        <f>C15-E15</f>
        <v/>
      </c>
      <c r="G15">
        <f>IF(ABS(F15)&lt;1,"Conciliado",IF(ABS(F15)&lt;=7750,"Trivial","Investigar"))</f>
        <v/>
      </c>
      <c r="H15" t="inlineStr"/>
    </row>
    <row r="16">
      <c r="A16" t="inlineStr">
        <is>
          <t>Provisão para abandono</t>
        </is>
      </c>
      <c r="B16" t="inlineStr">
        <is>
          <t>BP 2.02.04.02.03</t>
        </is>
      </c>
      <c r="C16" s="3" t="n">
        <v>5447438</v>
      </c>
      <c r="D16" t="inlineStr">
        <is>
          <t>NE 17 (p. 84)</t>
        </is>
      </c>
      <c r="E16" s="3" t="n">
        <v>5447438</v>
      </c>
      <c r="F16" s="3">
        <f>C16-E16</f>
        <v/>
      </c>
      <c r="G16">
        <f>IF(ABS(F16)&lt;1,"Conciliado",IF(ABS(F16)&lt;=7750,"Trivial","Investigar"))</f>
        <v/>
      </c>
      <c r="H16" t="inlineStr"/>
    </row>
    <row r="17">
      <c r="A17" t="inlineStr">
        <is>
          <t>Provisões para contingências</t>
        </is>
      </c>
      <c r="B17" t="inlineStr">
        <is>
          <t>BP 2.02.04.01</t>
        </is>
      </c>
      <c r="C17" s="3" t="n">
        <v>758162</v>
      </c>
      <c r="D17" t="inlineStr">
        <is>
          <t>NE 30 (p. 96)</t>
        </is>
      </c>
      <c r="E17" s="3" t="n">
        <v>758162</v>
      </c>
      <c r="F17" s="3">
        <f>C17-E17</f>
        <v/>
      </c>
      <c r="G17">
        <f>IF(ABS(F17)&lt;1,"Conciliado",IF(ABS(F17)&lt;=7750,"Trivial","Investigar"))</f>
        <v/>
      </c>
      <c r="H17" t="inlineStr"/>
    </row>
    <row r="18">
      <c r="A18" t="inlineStr">
        <is>
          <t>Receita líquida</t>
        </is>
      </c>
      <c r="B18" t="inlineStr">
        <is>
          <t>DRE 3.01</t>
        </is>
      </c>
      <c r="C18" s="3" t="n">
        <v>15583960</v>
      </c>
      <c r="D18" t="inlineStr">
        <is>
          <t>NE 22 (p. 89)</t>
        </is>
      </c>
      <c r="E18" s="3" t="n">
        <v>15583960</v>
      </c>
      <c r="F18" s="3">
        <f>C18-E18</f>
        <v/>
      </c>
      <c r="G18">
        <f>IF(ABS(F18)&lt;1,"Conciliado",IF(ABS(F18)&lt;=7750,"Trivial","Investigar"))</f>
        <v/>
      </c>
      <c r="H18" t="inlineStr"/>
    </row>
    <row r="19">
      <c r="A19" t="inlineStr">
        <is>
          <t>Custo dos produtos vendidos</t>
        </is>
      </c>
      <c r="B19" t="inlineStr">
        <is>
          <t>DRE 3.02</t>
        </is>
      </c>
      <c r="C19" s="3" t="n">
        <v>-12469053</v>
      </c>
      <c r="D19" t="inlineStr">
        <is>
          <t>NE 23 (p. 89)</t>
        </is>
      </c>
      <c r="E19" s="3" t="n">
        <v>-12469053</v>
      </c>
      <c r="F19" s="3">
        <f>C19-E19</f>
        <v/>
      </c>
      <c r="G19">
        <f>IF(ABS(F19)&lt;1,"Conciliado",IF(ABS(F19)&lt;=7750,"Trivial","Investigar"))</f>
        <v/>
      </c>
      <c r="H19" t="inlineStr"/>
    </row>
    <row r="20">
      <c r="A20" t="inlineStr">
        <is>
          <t>Outras receitas/despesas</t>
        </is>
      </c>
      <c r="B20" t="inlineStr">
        <is>
          <t>DRE 3.04.04 + 3.04.05</t>
        </is>
      </c>
      <c r="C20" s="3" t="n">
        <v>-491868</v>
      </c>
      <c r="D20" t="inlineStr">
        <is>
          <t>NE 25 (p. 90)</t>
        </is>
      </c>
      <c r="E20" s="3" t="n">
        <v>-491868</v>
      </c>
      <c r="F20" s="3">
        <f>C20-E20</f>
        <v/>
      </c>
      <c r="G20">
        <f>IF(ABS(F20)&lt;1,"Conciliado",IF(ABS(F20)&lt;=7750,"Trivial","Investigar"))</f>
        <v/>
      </c>
      <c r="H20" t="inlineStr"/>
    </row>
    <row r="21">
      <c r="A21" t="inlineStr">
        <is>
          <t>Depreciação/amortização (DFC x DVA)</t>
        </is>
      </c>
      <c r="B21" t="inlineStr">
        <is>
          <t>DFC 6.01.01.02</t>
        </is>
      </c>
      <c r="C21" s="3" t="n">
        <v>5855918</v>
      </c>
      <c r="D21" t="inlineStr">
        <is>
          <t>DVA 7.04.01</t>
        </is>
      </c>
      <c r="E21" s="3" t="n">
        <v>5854883</v>
      </c>
      <c r="F21" s="3">
        <f>C21-E21</f>
        <v/>
      </c>
      <c r="G21">
        <f>IF(ABS(F21)&lt;1,"Conciliado",IF(ABS(F21)&lt;=7750,"Trivial","Investigar"))</f>
        <v/>
      </c>
      <c r="H21" t="inlineStr">
        <is>
          <t>Diferença de R$ 1.035 mil entre DFC e DVA - trivial; registrar no PT 450</t>
        </is>
      </c>
    </row>
    <row r="22">
      <c r="A22" t="inlineStr">
        <is>
          <t>Depreciação/amortização (DFC x movimentação NE 8+9+15)</t>
        </is>
      </c>
      <c r="B22" t="inlineStr">
        <is>
          <t>DFC 6.01.01.02</t>
        </is>
      </c>
      <c r="C22" s="3" t="n">
        <v>5855918</v>
      </c>
      <c r="D22" t="inlineStr">
        <is>
          <t>NE 8, 9, 15 (p. 68, 69, 80)</t>
        </is>
      </c>
      <c r="E22" s="3" t="n">
        <v>5704708</v>
      </c>
      <c r="F22" s="3">
        <f>C22-E22</f>
        <v/>
      </c>
      <c r="G22">
        <f>IF(ABS(F22)&lt;1,"Conciliado",IF(ABS(F22)&lt;=7750,"Trivial","Investigar"))</f>
        <v/>
      </c>
      <c r="H22" t="inlineStr">
        <is>
          <t>Hipótese: movimentações das notas a taxas históricas e DFC a taxa média (NE 2.4); não comprovável com dados públicos</t>
        </is>
      </c>
    </row>
    <row r="23">
      <c r="A23" t="inlineStr">
        <is>
          <t>Depreciação de arrendamento (CPV x NE 15)</t>
        </is>
      </c>
      <c r="B23" t="inlineStr">
        <is>
          <t>NE 23 (p. 89)</t>
        </is>
      </c>
      <c r="C23" s="3" t="n">
        <v>298515</v>
      </c>
      <c r="D23" t="inlineStr">
        <is>
          <t>NE 15 (p. 80)</t>
        </is>
      </c>
      <c r="E23" s="3" t="n">
        <v>293368</v>
      </c>
      <c r="F23" s="3">
        <f>C23-E23</f>
        <v/>
      </c>
      <c r="G23">
        <f>IF(ABS(F23)&lt;1,"Conciliado",IF(ABS(F23)&lt;=7750,"Trivial","Investigar"))</f>
        <v/>
      </c>
      <c r="H23" t="inlineStr">
        <is>
          <t>Diferença de R$ 5.147 mil - trivial; possível efeito de PIS/COFINS sobre arrendamentos (NE 15)</t>
        </is>
      </c>
    </row>
    <row r="24">
      <c r="A24" t="inlineStr">
        <is>
          <t>Ativo por região (NE 28) x Ativo total</t>
        </is>
      </c>
      <c r="B24" t="inlineStr">
        <is>
          <t>BP 1</t>
        </is>
      </c>
      <c r="C24" s="3" t="n">
        <v>64179605</v>
      </c>
      <c r="D24" t="inlineStr">
        <is>
          <t>NE 28 (p. 92)</t>
        </is>
      </c>
      <c r="E24" s="3" t="n">
        <v>64179605</v>
      </c>
      <c r="F24" s="3">
        <f>C24-E24</f>
        <v/>
      </c>
      <c r="G24">
        <f>IF(ABS(F24)&lt;1,"Conciliado",IF(ABS(F24)&lt;=7750,"Trivial","Investigar"))</f>
        <v/>
      </c>
      <c r="H24" t="inlineStr"/>
    </row>
    <row r="26">
      <c r="A26" s="4" t="inlineStr">
        <is>
          <t>Provisões cíveis: BP 2.02.04.01.04 x abertura da NE 30 (p. 96-97)</t>
        </is>
      </c>
    </row>
    <row r="27">
      <c r="A27" t="inlineStr">
        <is>
          <t>BP - Provisões cíveis 2025</t>
        </is>
      </c>
      <c r="B27" s="3" t="n">
        <v>642170</v>
      </c>
    </row>
    <row r="28">
      <c r="A28" t="inlineStr">
        <is>
          <t>NE 30 - cíveis/regulatórias prováveis</t>
        </is>
      </c>
      <c r="B28" s="3" t="n">
        <v>352598</v>
      </c>
    </row>
    <row r="29">
      <c r="A29" t="inlineStr">
        <is>
          <t>NE 30 - passivo contingente PPA Forte</t>
        </is>
      </c>
      <c r="B29" s="3" t="n">
        <v>221458</v>
      </c>
    </row>
    <row r="30">
      <c r="A30" t="inlineStr">
        <is>
          <t>NE 30 - passivo contingente PPA Stellina</t>
        </is>
      </c>
      <c r="B30" s="3" t="n">
        <v>25111</v>
      </c>
    </row>
    <row r="31">
      <c r="A31" s="4" t="inlineStr">
        <is>
          <t>Diferença não explicada na nota (2024 conciliava: 352.383 + 221.883 + 76.654 = 650.920)</t>
        </is>
      </c>
      <c r="B31" s="3">
        <f>B27-B28-B29-B30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6" customWidth="1" min="4" max="4"/>
    <col width="22" customWidth="1" min="5" max="5"/>
    <col width="16" customWidth="1" min="6" max="6"/>
  </cols>
  <sheetData>
    <row r="1">
      <c r="A1" s="1" t="inlineStr">
        <is>
          <t>Conciliação da base simulada com NE 8/NE 15 por classe (R$ mil)</t>
        </is>
      </c>
    </row>
    <row r="2">
      <c r="A2" t="inlineStr">
        <is>
          <t>Norma: NBC TA 500 / NBC TA 530 | Preparador: Matrícula 231019943 | Data: 23/10/2026 | Revisão: ________ (campo em branco)</t>
        </is>
      </c>
    </row>
    <row r="3">
      <c r="A3" s="5" t="inlineStr">
        <is>
          <t>Células amarelas = premissas editáveis; demais valores são fórmulas.  *** DADOS SINTÉTICOS PARA FINS DIDÁTICOS ***</t>
        </is>
      </c>
    </row>
    <row r="5">
      <c r="A5" s="2" t="inlineStr">
        <is>
          <t>Classe</t>
        </is>
      </c>
      <c r="B5" s="2" t="inlineStr">
        <is>
          <t>Saldo nota</t>
        </is>
      </c>
      <c r="C5" s="2" t="inlineStr">
        <is>
          <t>Saldo base</t>
        </is>
      </c>
      <c r="D5" s="2" t="inlineStr">
        <is>
          <t>Diferença</t>
        </is>
      </c>
      <c r="E5" s="2" t="inlineStr">
        <is>
          <t>Explicada por erros inseridos</t>
        </is>
      </c>
      <c r="F5" s="2" t="inlineStr">
        <is>
          <t>Não explicada</t>
        </is>
      </c>
    </row>
    <row r="6">
      <c r="A6" t="inlineStr">
        <is>
          <t>Ativos de Óleo e Gás - Albacora Leste</t>
        </is>
      </c>
      <c r="B6" s="6" t="n">
        <v>332734</v>
      </c>
      <c r="C6" s="6" t="n">
        <v>332704.75</v>
      </c>
      <c r="D6" s="6">
        <f>C6-B6</f>
        <v/>
      </c>
      <c r="E6" s="6" t="n">
        <v>-29.25</v>
      </c>
      <c r="F6" s="6">
        <f>ROUND(D6-E6,2)</f>
        <v/>
      </c>
    </row>
    <row r="7">
      <c r="A7" t="inlineStr">
        <is>
          <t>Ativos de Óleo e Gás - Frade</t>
        </is>
      </c>
      <c r="B7" s="6" t="n">
        <v>1993861</v>
      </c>
      <c r="C7" s="6" t="n">
        <v>1993449.67</v>
      </c>
      <c r="D7" s="6">
        <f>C7-B7</f>
        <v/>
      </c>
      <c r="E7" s="6" t="n">
        <v>-411.33</v>
      </c>
      <c r="F7" s="6">
        <f>ROUND(D7-E7,2)</f>
        <v/>
      </c>
    </row>
    <row r="8">
      <c r="A8" t="inlineStr">
        <is>
          <t>Ativos de Óleo e Gás - Peregrino</t>
        </is>
      </c>
      <c r="B8" s="6" t="n">
        <v>8211522</v>
      </c>
      <c r="C8" s="6" t="n">
        <v>8208714.08</v>
      </c>
      <c r="D8" s="6">
        <f>C8-B8</f>
        <v/>
      </c>
      <c r="E8" s="6" t="n">
        <v>-2807.92</v>
      </c>
      <c r="F8" s="6">
        <f>ROUND(D8-E8,2)</f>
        <v/>
      </c>
    </row>
    <row r="9">
      <c r="A9" t="inlineStr">
        <is>
          <t>Ativos de Óleo e Gás - Polvo &amp; TBMT</t>
        </is>
      </c>
      <c r="B9" s="6" t="n">
        <v>503286</v>
      </c>
      <c r="C9" s="6" t="n">
        <v>503459.04</v>
      </c>
      <c r="D9" s="6">
        <f>C9-B9</f>
        <v/>
      </c>
      <c r="E9" s="6" t="n">
        <v>173.04</v>
      </c>
      <c r="F9" s="6">
        <f>ROUND(D9-E9,2)</f>
        <v/>
      </c>
    </row>
    <row r="10">
      <c r="A10" t="inlineStr">
        <is>
          <t>Benfeitorias em imóveis de terceiros</t>
        </is>
      </c>
      <c r="B10" s="6" t="n">
        <v>48241</v>
      </c>
      <c r="C10" s="6" t="n">
        <v>48265.85</v>
      </c>
      <c r="D10" s="6">
        <f>C10-B10</f>
        <v/>
      </c>
      <c r="E10" s="6" t="n">
        <v>24.85</v>
      </c>
      <c r="F10" s="6">
        <f>ROUND(D10-E10,2)</f>
        <v/>
      </c>
    </row>
    <row r="11">
      <c r="A11" t="inlineStr">
        <is>
          <t>Direito de uso - Edificações/Bases de Apoio</t>
        </is>
      </c>
      <c r="B11" s="6" t="n">
        <v>55647</v>
      </c>
      <c r="C11" s="6" t="n">
        <v>55647</v>
      </c>
      <c r="D11" s="6">
        <f>C11-B11</f>
        <v/>
      </c>
      <c r="E11" s="6" t="n">
        <v>0</v>
      </c>
      <c r="F11" s="6">
        <f>ROUND(D11-E11,2)</f>
        <v/>
      </c>
    </row>
    <row r="12">
      <c r="A12" t="inlineStr">
        <is>
          <t>Direito de uso - Embarcações de Apoio</t>
        </is>
      </c>
      <c r="B12" s="6" t="n">
        <v>142137</v>
      </c>
      <c r="C12" s="6" t="n">
        <v>142137</v>
      </c>
      <c r="D12" s="6">
        <f>C12-B12</f>
        <v/>
      </c>
      <c r="E12" s="6" t="n">
        <v>0</v>
      </c>
      <c r="F12" s="6">
        <f>ROUND(D12-E12,2)</f>
        <v/>
      </c>
    </row>
    <row r="13">
      <c r="A13" t="inlineStr">
        <is>
          <t>Direito de uso - Equipamentos</t>
        </is>
      </c>
      <c r="B13" s="6" t="n">
        <v>42477</v>
      </c>
      <c r="C13" s="6" t="n">
        <v>42477</v>
      </c>
      <c r="D13" s="6">
        <f>C13-B13</f>
        <v/>
      </c>
      <c r="E13" s="6" t="n">
        <v>0</v>
      </c>
      <c r="F13" s="6">
        <f>ROUND(D13-E13,2)</f>
        <v/>
      </c>
    </row>
    <row r="14">
      <c r="A14" t="inlineStr">
        <is>
          <t>Direito de uso - Helicópteros</t>
        </is>
      </c>
      <c r="B14" s="6" t="n">
        <v>370139</v>
      </c>
      <c r="C14" s="6" t="n">
        <v>370139</v>
      </c>
      <c r="D14" s="6">
        <f>C14-B14</f>
        <v/>
      </c>
      <c r="E14" s="6" t="n">
        <v>0</v>
      </c>
      <c r="F14" s="6">
        <f>ROUND(D14-E14,2)</f>
        <v/>
      </c>
    </row>
    <row r="15">
      <c r="A15" t="inlineStr">
        <is>
          <t>Embarcação Gênesis I</t>
        </is>
      </c>
      <c r="B15" s="6" t="n">
        <v>238255</v>
      </c>
      <c r="C15" s="6" t="n">
        <v>238627.53</v>
      </c>
      <c r="D15" s="6">
        <f>C15-B15</f>
        <v/>
      </c>
      <c r="E15" s="6" t="n">
        <v>372.53</v>
      </c>
      <c r="F15" s="6">
        <f>ROUND(D15-E15,2)</f>
        <v/>
      </c>
    </row>
    <row r="16">
      <c r="A16" t="inlineStr">
        <is>
          <t>Equipamentos de comunicação</t>
        </is>
      </c>
      <c r="B16" s="6" t="n">
        <v>2360</v>
      </c>
      <c r="C16" s="6" t="n">
        <v>2360</v>
      </c>
      <c r="D16" s="6">
        <f>C16-B16</f>
        <v/>
      </c>
      <c r="E16" s="6" t="n">
        <v>0</v>
      </c>
      <c r="F16" s="6">
        <f>ROUND(D16-E16,2)</f>
        <v/>
      </c>
    </row>
    <row r="17">
      <c r="A17" t="inlineStr">
        <is>
          <t>Equipamentos de informática</t>
        </is>
      </c>
      <c r="B17" s="6" t="n">
        <v>24140</v>
      </c>
      <c r="C17" s="6" t="n">
        <v>24172.14</v>
      </c>
      <c r="D17" s="6">
        <f>C17-B17</f>
        <v/>
      </c>
      <c r="E17" s="6" t="n">
        <v>32.14</v>
      </c>
      <c r="F17" s="6">
        <f>ROUND(D17-E17,2)</f>
        <v/>
      </c>
    </row>
    <row r="18">
      <c r="A18" t="inlineStr">
        <is>
          <t>FPSO Bravo - Tubarão Martelo</t>
        </is>
      </c>
      <c r="B18" s="6" t="n">
        <v>503504</v>
      </c>
      <c r="C18" s="6" t="n">
        <v>503534.23</v>
      </c>
      <c r="D18" s="6">
        <f>C18-B18</f>
        <v/>
      </c>
      <c r="E18" s="6" t="n">
        <v>30.23</v>
      </c>
      <c r="F18" s="6">
        <f>ROUND(D18-E18,2)</f>
        <v/>
      </c>
    </row>
    <row r="19">
      <c r="A19" t="inlineStr">
        <is>
          <t>FPSO Forte - Albacora Leste</t>
        </is>
      </c>
      <c r="B19" s="6" t="n">
        <v>1301322</v>
      </c>
      <c r="C19" s="6" t="n">
        <v>1300415.7</v>
      </c>
      <c r="D19" s="6">
        <f>C19-B19</f>
        <v/>
      </c>
      <c r="E19" s="6" t="n">
        <v>-906.3</v>
      </c>
      <c r="F19" s="6">
        <f>ROUND(D19-E19,2)</f>
        <v/>
      </c>
    </row>
    <row r="20">
      <c r="A20" t="inlineStr">
        <is>
          <t>FPSO Valente - Frade</t>
        </is>
      </c>
      <c r="B20" s="6" t="n">
        <v>1015091</v>
      </c>
      <c r="C20" s="6" t="n">
        <v>1013259.29</v>
      </c>
      <c r="D20" s="6">
        <f>C20-B20</f>
        <v/>
      </c>
      <c r="E20" s="6" t="n">
        <v>-1831.71</v>
      </c>
      <c r="F20" s="6">
        <f>ROUND(D20-E20,2)</f>
        <v/>
      </c>
    </row>
    <row r="21">
      <c r="A21" t="inlineStr">
        <is>
          <t>Gastos com Desenvolvimento</t>
        </is>
      </c>
      <c r="B21" s="6" t="n">
        <v>6566036</v>
      </c>
      <c r="C21" s="6" t="n">
        <v>6872816.58</v>
      </c>
      <c r="D21" s="6">
        <f>C21-B21</f>
        <v/>
      </c>
      <c r="E21" s="6" t="n">
        <v>306780.58</v>
      </c>
      <c r="F21" s="6">
        <f>ROUND(D21-E21,2)</f>
        <v/>
      </c>
    </row>
    <row r="22">
      <c r="A22" t="inlineStr">
        <is>
          <t>Imobilizado em andamento</t>
        </is>
      </c>
      <c r="B22" s="6" t="n">
        <v>97824</v>
      </c>
      <c r="C22" s="6" t="n">
        <v>98776.46000000001</v>
      </c>
      <c r="D22" s="6">
        <f>C22-B22</f>
        <v/>
      </c>
      <c r="E22" s="6" t="n">
        <v>952.46</v>
      </c>
      <c r="F22" s="6">
        <f>ROUND(D22-E22,2)</f>
        <v/>
      </c>
    </row>
    <row r="23">
      <c r="A23" t="inlineStr">
        <is>
          <t>Material poços</t>
        </is>
      </c>
      <c r="B23" s="6" t="n">
        <v>2544761</v>
      </c>
      <c r="C23" s="6" t="n">
        <v>2553199.97</v>
      </c>
      <c r="D23" s="6">
        <f>C23-B23</f>
        <v/>
      </c>
      <c r="E23" s="6" t="n">
        <v>8438.969999999999</v>
      </c>
      <c r="F23" s="6">
        <f>ROUND(D23-E23,2)</f>
        <v/>
      </c>
    </row>
    <row r="24">
      <c r="A24" t="inlineStr">
        <is>
          <t>Máquinas e equipamentos</t>
        </is>
      </c>
      <c r="B24" s="6" t="n">
        <v>0</v>
      </c>
      <c r="C24" s="6" t="n">
        <v>0</v>
      </c>
      <c r="D24" s="6">
        <f>C24-B24</f>
        <v/>
      </c>
      <c r="E24" s="6" t="n">
        <v>0</v>
      </c>
      <c r="F24" s="6">
        <f>ROUND(D24-E24,2)</f>
        <v/>
      </c>
    </row>
    <row r="25">
      <c r="A25" t="inlineStr">
        <is>
          <t>Móveis e utensílios</t>
        </is>
      </c>
      <c r="B25" s="6" t="n">
        <v>507</v>
      </c>
      <c r="C25" s="6" t="n">
        <v>507</v>
      </c>
      <c r="D25" s="6">
        <f>C25-B25</f>
        <v/>
      </c>
      <c r="E25" s="6" t="n">
        <v>0</v>
      </c>
      <c r="F25" s="6">
        <f>ROUND(D25-E25,2)</f>
        <v/>
      </c>
    </row>
    <row r="26">
      <c r="A26" t="inlineStr">
        <is>
          <t>Plataforma Peregrino</t>
        </is>
      </c>
      <c r="B26" s="6" t="n">
        <v>5448957</v>
      </c>
      <c r="C26" s="6" t="n">
        <v>5458689.13</v>
      </c>
      <c r="D26" s="6">
        <f>C26-B26</f>
        <v/>
      </c>
      <c r="E26" s="6" t="n">
        <v>9732.129999999999</v>
      </c>
      <c r="F26" s="6">
        <f>ROUND(D26-E26,2)</f>
        <v/>
      </c>
    </row>
    <row r="27">
      <c r="A27" t="inlineStr">
        <is>
          <t>Plataforma e Sonda - Polvo A</t>
        </is>
      </c>
      <c r="B27" s="6" t="n">
        <v>23854</v>
      </c>
      <c r="C27" s="6" t="n">
        <v>23854.54</v>
      </c>
      <c r="D27" s="6">
        <f>C27-B27</f>
        <v/>
      </c>
      <c r="E27" s="6" t="n">
        <v>0.54</v>
      </c>
      <c r="F27" s="6">
        <f>ROUND(D27-E27,2)</f>
        <v/>
      </c>
    </row>
    <row r="28">
      <c r="A28" t="inlineStr">
        <is>
          <t>Revitalização da Plataforma - Polvo A</t>
        </is>
      </c>
      <c r="B28" s="6" t="n">
        <v>74211</v>
      </c>
      <c r="C28" s="6" t="n">
        <v>74224.5</v>
      </c>
      <c r="D28" s="6">
        <f>C28-B28</f>
        <v/>
      </c>
      <c r="E28" s="6" t="n">
        <v>13.5</v>
      </c>
      <c r="F28" s="6">
        <f>ROUND(D28-E28,2)</f>
        <v/>
      </c>
    </row>
    <row r="29">
      <c r="A29" t="inlineStr">
        <is>
          <t>Revitalização de Poços (workover)</t>
        </is>
      </c>
      <c r="B29" s="6" t="n">
        <v>85979</v>
      </c>
      <c r="C29" s="6" t="n">
        <v>88802.91</v>
      </c>
      <c r="D29" s="6">
        <f>C29-B29</f>
        <v/>
      </c>
      <c r="E29" s="6" t="n">
        <v>2823.91</v>
      </c>
      <c r="F29" s="6">
        <f>ROUND(D29-E29,2)</f>
        <v/>
      </c>
    </row>
    <row r="30">
      <c r="A30" t="inlineStr">
        <is>
          <t>Revitalização de Poços (workover) - andamento</t>
        </is>
      </c>
      <c r="B30" s="6" t="n">
        <v>356455</v>
      </c>
      <c r="C30" s="6" t="n">
        <v>356481.59</v>
      </c>
      <c r="D30" s="6">
        <f>C30-B30</f>
        <v/>
      </c>
      <c r="E30" s="6" t="n">
        <v>26.59</v>
      </c>
      <c r="F30" s="6">
        <f>ROUND(D30-E30,2)</f>
        <v/>
      </c>
    </row>
    <row r="31">
      <c r="A31" t="inlineStr">
        <is>
          <t>Sobressalentes</t>
        </is>
      </c>
      <c r="B31" s="6" t="n">
        <v>365219</v>
      </c>
      <c r="C31" s="6" t="n">
        <v>366824.02</v>
      </c>
      <c r="D31" s="6">
        <f>C31-B31</f>
        <v/>
      </c>
      <c r="E31" s="6" t="n">
        <v>1605.02</v>
      </c>
      <c r="F31" s="6">
        <f>ROUND(D31-E31,2)</f>
        <v/>
      </c>
    </row>
    <row r="32">
      <c r="A32" t="inlineStr">
        <is>
          <t>Sonda Hunter Queen</t>
        </is>
      </c>
      <c r="B32" s="6" t="n">
        <v>794285</v>
      </c>
      <c r="C32" s="6" t="n">
        <v>794285</v>
      </c>
      <c r="D32" s="6">
        <f>C32-B32</f>
        <v/>
      </c>
      <c r="E32" s="6" t="n">
        <v>0</v>
      </c>
      <c r="F32" s="6">
        <f>ROUND(D32-E32,2)</f>
        <v/>
      </c>
    </row>
    <row r="33">
      <c r="A33" s="4" t="inlineStr">
        <is>
          <t>TOTAL (BP 1.02.03 = 31.142.804)</t>
        </is>
      </c>
      <c r="B33" s="6">
        <f>SUM(B6:B32)</f>
        <v/>
      </c>
      <c r="C33" s="6">
        <f>SUM(C6:C32)</f>
        <v/>
      </c>
      <c r="D33" s="6">
        <f>SUM(D6:D32)</f>
        <v/>
      </c>
      <c r="E33" s="6">
        <f>SUM(E6:E32)</f>
        <v/>
      </c>
      <c r="F33" s="6">
        <f>SUM(F6:F32)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18" customWidth="1" min="4" max="4"/>
    <col width="18" customWidth="1" min="5" max="5"/>
    <col width="14" customWidth="1" min="6" max="6"/>
    <col width="30" customWidth="1" min="7" max="7"/>
  </cols>
  <sheetData>
    <row r="1">
      <c r="A1" s="1" t="inlineStr">
        <is>
          <t>PT 510 - Saldos de abertura: DFP 2024 original x comparativo da DFP 2025 (R$ mil)</t>
        </is>
      </c>
    </row>
    <row r="2">
      <c r="A2" t="inlineStr">
        <is>
          <t>Norma: NBC TA 510 (R1) itens 5-9 | Preparador: Matrícula 231019943 | Data: 23/10/2026 | Revisão: ________ (campo em branco)</t>
        </is>
      </c>
    </row>
    <row r="3">
      <c r="A3" t="inlineStr">
        <is>
          <t>Células amarelas = premissas editáveis; demais valores são fórmulas.  Fonte: CVM Dados Abertos / DFP 2025.</t>
        </is>
      </c>
    </row>
    <row r="5">
      <c r="A5" s="2" t="inlineStr">
        <is>
          <t>Demonstração</t>
        </is>
      </c>
      <c r="B5" s="2" t="inlineStr">
        <is>
          <t>Conta</t>
        </is>
      </c>
      <c r="C5" s="2" t="inlineStr">
        <is>
          <t>Descrição</t>
        </is>
      </c>
      <c r="D5" s="2" t="inlineStr">
        <is>
          <t>DFP 2024 original</t>
        </is>
      </c>
      <c r="E5" s="2" t="inlineStr">
        <is>
          <t>Comparativo DFP 2025</t>
        </is>
      </c>
      <c r="F5" s="2" t="inlineStr">
        <is>
          <t>Diferença</t>
        </is>
      </c>
      <c r="G5" s="2" t="inlineStr">
        <is>
          <t>Situação</t>
        </is>
      </c>
    </row>
    <row r="6">
      <c r="A6" t="inlineStr">
        <is>
          <t>BPA</t>
        </is>
      </c>
      <c r="B6" t="inlineStr">
        <is>
          <t>1</t>
        </is>
      </c>
      <c r="C6" t="inlineStr">
        <is>
          <t>Ativo Total</t>
        </is>
      </c>
      <c r="D6" s="3" t="n">
        <v>55746165</v>
      </c>
      <c r="E6" s="3" t="n">
        <v>55746165</v>
      </c>
      <c r="F6" s="3">
        <f>E6-D6</f>
        <v/>
      </c>
      <c r="G6">
        <f>IF(ABS(F6)&lt;1,"Igual","Examinar reclassificação")</f>
        <v/>
      </c>
    </row>
    <row r="7">
      <c r="A7" t="inlineStr">
        <is>
          <t>BPA</t>
        </is>
      </c>
      <c r="B7" t="inlineStr">
        <is>
          <t>1.01</t>
        </is>
      </c>
      <c r="C7" t="inlineStr">
        <is>
          <t>Ativo Circulante</t>
        </is>
      </c>
      <c r="D7" s="3" t="n">
        <v>7952572</v>
      </c>
      <c r="E7" s="3" t="n">
        <v>7952572</v>
      </c>
      <c r="F7" s="3">
        <f>E7-D7</f>
        <v/>
      </c>
      <c r="G7">
        <f>IF(ABS(F7)&lt;1,"Igual","Examinar reclassificação")</f>
        <v/>
      </c>
    </row>
    <row r="8">
      <c r="A8" t="inlineStr">
        <is>
          <t>BPA</t>
        </is>
      </c>
      <c r="B8" t="inlineStr">
        <is>
          <t>1.01.01</t>
        </is>
      </c>
      <c r="C8" t="inlineStr">
        <is>
          <t>Caixa e Equivalentes de Caixa</t>
        </is>
      </c>
      <c r="D8" s="3" t="n">
        <v>3993359</v>
      </c>
      <c r="E8" s="3" t="n">
        <v>3993359</v>
      </c>
      <c r="F8" s="3">
        <f>E8-D8</f>
        <v/>
      </c>
      <c r="G8">
        <f>IF(ABS(F8)&lt;1,"Igual","Examinar reclassificação")</f>
        <v/>
      </c>
    </row>
    <row r="9">
      <c r="A9" t="inlineStr">
        <is>
          <t>BPA</t>
        </is>
      </c>
      <c r="B9" t="inlineStr">
        <is>
          <t>1.01.03</t>
        </is>
      </c>
      <c r="C9" t="inlineStr">
        <is>
          <t>Contas a Receber</t>
        </is>
      </c>
      <c r="D9" s="3" t="n">
        <v>931770</v>
      </c>
      <c r="E9" s="3" t="n">
        <v>931770</v>
      </c>
      <c r="F9" s="3">
        <f>E9-D9</f>
        <v/>
      </c>
      <c r="G9">
        <f>IF(ABS(F9)&lt;1,"Igual","Examinar reclassificação")</f>
        <v/>
      </c>
    </row>
    <row r="10">
      <c r="A10" t="inlineStr">
        <is>
          <t>BPA</t>
        </is>
      </c>
      <c r="B10" t="inlineStr">
        <is>
          <t>1.01.03.01</t>
        </is>
      </c>
      <c r="C10" t="inlineStr">
        <is>
          <t>Clientes</t>
        </is>
      </c>
      <c r="D10" s="3" t="n">
        <v>931770</v>
      </c>
      <c r="E10" s="3" t="n">
        <v>931770</v>
      </c>
      <c r="F10" s="3">
        <f>E10-D10</f>
        <v/>
      </c>
      <c r="G10">
        <f>IF(ABS(F10)&lt;1,"Igual","Examinar reclassificação")</f>
        <v/>
      </c>
    </row>
    <row r="11">
      <c r="A11" t="inlineStr">
        <is>
          <t>BPA</t>
        </is>
      </c>
      <c r="B11" t="inlineStr">
        <is>
          <t>1.01.04</t>
        </is>
      </c>
      <c r="C11" t="inlineStr">
        <is>
          <t>Estoques</t>
        </is>
      </c>
      <c r="D11" s="3" t="n">
        <v>1204744</v>
      </c>
      <c r="E11" s="3" t="n">
        <v>1204744</v>
      </c>
      <c r="F11" s="3">
        <f>E11-D11</f>
        <v/>
      </c>
      <c r="G11">
        <f>IF(ABS(F11)&lt;1,"Igual","Examinar reclassificação")</f>
        <v/>
      </c>
    </row>
    <row r="12">
      <c r="A12" t="inlineStr">
        <is>
          <t>BPA</t>
        </is>
      </c>
      <c r="B12" t="inlineStr">
        <is>
          <t>1.01.06</t>
        </is>
      </c>
      <c r="C12" t="inlineStr">
        <is>
          <t>Tributos a Recuperar</t>
        </is>
      </c>
      <c r="D12" s="3" t="n">
        <v>1203464</v>
      </c>
      <c r="E12" s="3" t="n">
        <v>1203464</v>
      </c>
      <c r="F12" s="3">
        <f>E12-D12</f>
        <v/>
      </c>
      <c r="G12">
        <f>IF(ABS(F12)&lt;1,"Igual","Examinar reclassificação")</f>
        <v/>
      </c>
    </row>
    <row r="13">
      <c r="A13" t="inlineStr">
        <is>
          <t>BPA</t>
        </is>
      </c>
      <c r="B13" t="inlineStr">
        <is>
          <t>1.01.06.01</t>
        </is>
      </c>
      <c r="C13" t="inlineStr">
        <is>
          <t>Tributos Correntes a Recuperar</t>
        </is>
      </c>
      <c r="D13" s="3" t="n">
        <v>1203464</v>
      </c>
      <c r="E13" s="3" t="n">
        <v>1203464</v>
      </c>
      <c r="F13" s="3">
        <f>E13-D13</f>
        <v/>
      </c>
      <c r="G13">
        <f>IF(ABS(F13)&lt;1,"Igual","Examinar reclassificação")</f>
        <v/>
      </c>
    </row>
    <row r="14">
      <c r="A14" t="inlineStr">
        <is>
          <t>BPA</t>
        </is>
      </c>
      <c r="B14" t="inlineStr">
        <is>
          <t>1.01.07</t>
        </is>
      </c>
      <c r="C14" t="inlineStr">
        <is>
          <t>Despesas Antecipadas</t>
        </is>
      </c>
      <c r="D14" s="3" t="n">
        <v>32832</v>
      </c>
      <c r="E14" s="3" t="n">
        <v>32832</v>
      </c>
      <c r="F14" s="3">
        <f>E14-D14</f>
        <v/>
      </c>
      <c r="G14">
        <f>IF(ABS(F14)&lt;1,"Igual","Examinar reclassificação")</f>
        <v/>
      </c>
    </row>
    <row r="15">
      <c r="A15" t="inlineStr">
        <is>
          <t>BPA</t>
        </is>
      </c>
      <c r="B15" t="inlineStr">
        <is>
          <t>1.01.08</t>
        </is>
      </c>
      <c r="C15" t="inlineStr">
        <is>
          <t>Outros Ativos Circulantes</t>
        </is>
      </c>
      <c r="D15" s="3" t="n">
        <v>586403</v>
      </c>
      <c r="E15" s="3" t="n">
        <v>586403</v>
      </c>
      <c r="F15" s="3">
        <f>E15-D15</f>
        <v/>
      </c>
      <c r="G15">
        <f>IF(ABS(F15)&lt;1,"Igual","Examinar reclassificação")</f>
        <v/>
      </c>
    </row>
    <row r="16">
      <c r="A16" t="inlineStr">
        <is>
          <t>BPA</t>
        </is>
      </c>
      <c r="B16" t="inlineStr">
        <is>
          <t>1.01.08.03</t>
        </is>
      </c>
      <c r="C16" t="inlineStr">
        <is>
          <t>Outros</t>
        </is>
      </c>
      <c r="D16" s="3" t="n">
        <v>586403</v>
      </c>
      <c r="E16" s="3" t="n">
        <v>586403</v>
      </c>
      <c r="F16" s="3">
        <f>E16-D16</f>
        <v/>
      </c>
      <c r="G16">
        <f>IF(ABS(F16)&lt;1,"Igual","Examinar reclassificação")</f>
        <v/>
      </c>
    </row>
    <row r="17">
      <c r="A17" t="inlineStr">
        <is>
          <t>BPA</t>
        </is>
      </c>
      <c r="B17" t="inlineStr">
        <is>
          <t>1.01.08.03.01</t>
        </is>
      </c>
      <c r="C17" t="inlineStr">
        <is>
          <t>Adiantamento a fornecedores</t>
        </is>
      </c>
      <c r="D17" s="3" t="n">
        <v>584337</v>
      </c>
      <c r="E17" s="3" t="n">
        <v>584337</v>
      </c>
      <c r="F17" s="3">
        <f>E17-D17</f>
        <v/>
      </c>
      <c r="G17">
        <f>IF(ABS(F17)&lt;1,"Igual","Examinar reclassificação")</f>
        <v/>
      </c>
    </row>
    <row r="18">
      <c r="A18" t="inlineStr">
        <is>
          <t>BPA</t>
        </is>
      </c>
      <c r="B18" t="inlineStr">
        <is>
          <t>1.01.08.03.03</t>
        </is>
      </c>
      <c r="C18" t="inlineStr">
        <is>
          <t>Outros</t>
        </is>
      </c>
      <c r="D18" s="3" t="n">
        <v>2066</v>
      </c>
      <c r="E18" s="3" t="n">
        <v>2066</v>
      </c>
      <c r="F18" s="3">
        <f>E18-D18</f>
        <v/>
      </c>
      <c r="G18">
        <f>IF(ABS(F18)&lt;1,"Igual","Examinar reclassificação")</f>
        <v/>
      </c>
    </row>
    <row r="19">
      <c r="A19" t="inlineStr">
        <is>
          <t>BPA</t>
        </is>
      </c>
      <c r="B19" t="inlineStr">
        <is>
          <t>1.02</t>
        </is>
      </c>
      <c r="C19" t="inlineStr">
        <is>
          <t>Ativo Não Circulante</t>
        </is>
      </c>
      <c r="D19" s="3" t="n">
        <v>47793593</v>
      </c>
      <c r="E19" s="3" t="n">
        <v>47793593</v>
      </c>
      <c r="F19" s="3">
        <f>E19-D19</f>
        <v/>
      </c>
      <c r="G19">
        <f>IF(ABS(F19)&lt;1,"Igual","Examinar reclassificação")</f>
        <v/>
      </c>
    </row>
    <row r="20">
      <c r="A20" t="inlineStr">
        <is>
          <t>BPA</t>
        </is>
      </c>
      <c r="B20" t="inlineStr">
        <is>
          <t>1.02.01</t>
        </is>
      </c>
      <c r="C20" t="inlineStr">
        <is>
          <t>Ativo Realizável a Longo Prazo</t>
        </is>
      </c>
      <c r="D20" s="3" t="n">
        <v>5993622</v>
      </c>
      <c r="E20" s="3" t="n">
        <v>5993622</v>
      </c>
      <c r="F20" s="3">
        <f>E20-D20</f>
        <v/>
      </c>
      <c r="G20">
        <f>IF(ABS(F20)&lt;1,"Igual","Examinar reclassificação")</f>
        <v/>
      </c>
    </row>
    <row r="21">
      <c r="A21" t="inlineStr">
        <is>
          <t>BPA</t>
        </is>
      </c>
      <c r="B21" t="inlineStr">
        <is>
          <t>1.02.01.07</t>
        </is>
      </c>
      <c r="C21" t="inlineStr">
        <is>
          <t>Tributos Diferidos</t>
        </is>
      </c>
      <c r="D21" s="3" t="n">
        <v>5636399</v>
      </c>
      <c r="E21" s="3" t="n">
        <v>5636399</v>
      </c>
      <c r="F21" s="3">
        <f>E21-D21</f>
        <v/>
      </c>
      <c r="G21">
        <f>IF(ABS(F21)&lt;1,"Igual","Examinar reclassificação")</f>
        <v/>
      </c>
    </row>
    <row r="22">
      <c r="A22" t="inlineStr">
        <is>
          <t>BPA</t>
        </is>
      </c>
      <c r="B22" t="inlineStr">
        <is>
          <t>1.02.01.07.01</t>
        </is>
      </c>
      <c r="C22" t="inlineStr">
        <is>
          <t>Imposto de Renda e Contribuição Social Diferidos</t>
        </is>
      </c>
      <c r="D22" s="3" t="n">
        <v>5636399</v>
      </c>
      <c r="E22" s="3" t="n">
        <v>5636399</v>
      </c>
      <c r="F22" s="3">
        <f>E22-D22</f>
        <v/>
      </c>
      <c r="G22">
        <f>IF(ABS(F22)&lt;1,"Igual","Examinar reclassificação")</f>
        <v/>
      </c>
    </row>
    <row r="23">
      <c r="A23" t="inlineStr">
        <is>
          <t>BPA</t>
        </is>
      </c>
      <c r="B23" t="inlineStr">
        <is>
          <t>1.02.01.10</t>
        </is>
      </c>
      <c r="C23" t="inlineStr">
        <is>
          <t>Outros Ativos Não Circulantes</t>
        </is>
      </c>
      <c r="D23" s="3" t="n">
        <v>357223</v>
      </c>
      <c r="E23" s="3" t="n">
        <v>357223</v>
      </c>
      <c r="F23" s="3">
        <f>E23-D23</f>
        <v/>
      </c>
      <c r="G23">
        <f>IF(ABS(F23)&lt;1,"Igual","Examinar reclassificação")</f>
        <v/>
      </c>
    </row>
    <row r="24">
      <c r="A24" t="inlineStr">
        <is>
          <t>BPA</t>
        </is>
      </c>
      <c r="B24" t="inlineStr">
        <is>
          <t>1.02.01.10.04</t>
        </is>
      </c>
      <c r="C24" t="inlineStr">
        <is>
          <t>Adiantamento a fornecedores</t>
        </is>
      </c>
      <c r="D24" s="3" t="n">
        <v>881</v>
      </c>
      <c r="E24" s="3" t="n">
        <v>881</v>
      </c>
      <c r="F24" s="3">
        <f>E24-D24</f>
        <v/>
      </c>
      <c r="G24">
        <f>IF(ABS(F24)&lt;1,"Igual","Examinar reclassificação")</f>
        <v/>
      </c>
    </row>
    <row r="25">
      <c r="A25" t="inlineStr">
        <is>
          <t>BPA</t>
        </is>
      </c>
      <c r="B25" t="inlineStr">
        <is>
          <t>1.02.01.10.05</t>
        </is>
      </c>
      <c r="C25" t="inlineStr">
        <is>
          <t>Depósitos judiciais</t>
        </is>
      </c>
      <c r="D25" s="3" t="n">
        <v>171082</v>
      </c>
      <c r="E25" s="3" t="n">
        <v>171082</v>
      </c>
      <c r="F25" s="3">
        <f>E25-D25</f>
        <v/>
      </c>
      <c r="G25">
        <f>IF(ABS(F25)&lt;1,"Igual","Examinar reclassificação")</f>
        <v/>
      </c>
    </row>
    <row r="26">
      <c r="A26" t="inlineStr">
        <is>
          <t>BPA</t>
        </is>
      </c>
      <c r="B26" t="inlineStr">
        <is>
          <t>1.02.01.10.06</t>
        </is>
      </c>
      <c r="C26" t="inlineStr">
        <is>
          <t>Tributos a recuperar</t>
        </is>
      </c>
      <c r="D26" s="3" t="n">
        <v>185260</v>
      </c>
      <c r="E26" s="3" t="n">
        <v>185260</v>
      </c>
      <c r="F26" s="3">
        <f>E26-D26</f>
        <v/>
      </c>
      <c r="G26">
        <f>IF(ABS(F26)&lt;1,"Igual","Examinar reclassificação")</f>
        <v/>
      </c>
    </row>
    <row r="27">
      <c r="A27" t="inlineStr">
        <is>
          <t>BPA</t>
        </is>
      </c>
      <c r="B27" t="inlineStr">
        <is>
          <t>1.02.03</t>
        </is>
      </c>
      <c r="C27" t="inlineStr">
        <is>
          <t>Imobilizado</t>
        </is>
      </c>
      <c r="D27" s="3" t="n">
        <v>25297509</v>
      </c>
      <c r="E27" s="3" t="n">
        <v>25297509</v>
      </c>
      <c r="F27" s="3">
        <f>E27-D27</f>
        <v/>
      </c>
      <c r="G27">
        <f>IF(ABS(F27)&lt;1,"Igual","Examinar reclassificação")</f>
        <v/>
      </c>
    </row>
    <row r="28">
      <c r="A28" t="inlineStr">
        <is>
          <t>BPA</t>
        </is>
      </c>
      <c r="B28" t="inlineStr">
        <is>
          <t>1.02.03.01</t>
        </is>
      </c>
      <c r="C28" t="inlineStr">
        <is>
          <t>Imobilizado em Operação</t>
        </is>
      </c>
      <c r="D28" s="3" t="n">
        <v>15646101</v>
      </c>
      <c r="E28" s="3" t="n">
        <v>15646101</v>
      </c>
      <c r="F28" s="3">
        <f>E28-D28</f>
        <v/>
      </c>
      <c r="G28">
        <f>IF(ABS(F28)&lt;1,"Igual","Examinar reclassificação")</f>
        <v/>
      </c>
    </row>
    <row r="29">
      <c r="A29" t="inlineStr">
        <is>
          <t>BPA</t>
        </is>
      </c>
      <c r="B29" t="inlineStr">
        <is>
          <t>1.02.03.02</t>
        </is>
      </c>
      <c r="C29" t="inlineStr">
        <is>
          <t>Direito de Uso em Arrendamento</t>
        </is>
      </c>
      <c r="D29" s="3" t="n">
        <v>2421249</v>
      </c>
      <c r="E29" s="3" t="n">
        <v>2421249</v>
      </c>
      <c r="F29" s="3">
        <f>E29-D29</f>
        <v/>
      </c>
      <c r="G29">
        <f>IF(ABS(F29)&lt;1,"Igual","Examinar reclassificação")</f>
        <v/>
      </c>
    </row>
    <row r="30">
      <c r="A30" t="inlineStr">
        <is>
          <t>BPA</t>
        </is>
      </c>
      <c r="B30" t="inlineStr">
        <is>
          <t>1.02.03.03</t>
        </is>
      </c>
      <c r="C30" t="inlineStr">
        <is>
          <t>Imobilizado em Andamento</t>
        </is>
      </c>
      <c r="D30" s="3" t="n">
        <v>7230159</v>
      </c>
      <c r="E30" s="3" t="n">
        <v>7230159</v>
      </c>
      <c r="F30" s="3">
        <f>E30-D30</f>
        <v/>
      </c>
      <c r="G30">
        <f>IF(ABS(F30)&lt;1,"Igual","Examinar reclassificação")</f>
        <v/>
      </c>
    </row>
    <row r="31">
      <c r="A31" t="inlineStr">
        <is>
          <t>BPA</t>
        </is>
      </c>
      <c r="B31" t="inlineStr">
        <is>
          <t>1.02.04</t>
        </is>
      </c>
      <c r="C31" t="inlineStr">
        <is>
          <t>Intangível</t>
        </is>
      </c>
      <c r="D31" s="3" t="n">
        <v>16502462</v>
      </c>
      <c r="E31" s="3" t="n">
        <v>16502462</v>
      </c>
      <c r="F31" s="3">
        <f>E31-D31</f>
        <v/>
      </c>
      <c r="G31">
        <f>IF(ABS(F31)&lt;1,"Igual","Examinar reclassificação")</f>
        <v/>
      </c>
    </row>
    <row r="32">
      <c r="A32" t="inlineStr">
        <is>
          <t>BPA</t>
        </is>
      </c>
      <c r="B32" t="inlineStr">
        <is>
          <t>1.02.04.01</t>
        </is>
      </c>
      <c r="C32" t="inlineStr">
        <is>
          <t>Intangíveis</t>
        </is>
      </c>
      <c r="D32" s="3" t="n">
        <v>16502462</v>
      </c>
      <c r="E32" s="3" t="n">
        <v>16502462</v>
      </c>
      <c r="F32" s="3">
        <f>E32-D32</f>
        <v/>
      </c>
      <c r="G32">
        <f>IF(ABS(F32)&lt;1,"Igual","Examinar reclassificação")</f>
        <v/>
      </c>
    </row>
    <row r="33">
      <c r="A33" t="inlineStr">
        <is>
          <t>BPA</t>
        </is>
      </c>
      <c r="B33" t="inlineStr">
        <is>
          <t>1.02.04.01.01</t>
        </is>
      </c>
      <c r="C33" t="inlineStr">
        <is>
          <t>Contrato de Concessão</t>
        </is>
      </c>
      <c r="D33" s="3" t="n">
        <v>16502462</v>
      </c>
      <c r="E33" s="3" t="n">
        <v>16502462</v>
      </c>
      <c r="F33" s="3">
        <f>E33-D33</f>
        <v/>
      </c>
      <c r="G33">
        <f>IF(ABS(F33)&lt;1,"Igual","Examinar reclassificação")</f>
        <v/>
      </c>
    </row>
    <row r="34">
      <c r="A34" t="inlineStr">
        <is>
          <t>BPP</t>
        </is>
      </c>
      <c r="B34" t="inlineStr">
        <is>
          <t>2</t>
        </is>
      </c>
      <c r="C34" t="inlineStr">
        <is>
          <t>Passivo Total</t>
        </is>
      </c>
      <c r="D34" s="3" t="n">
        <v>55746165</v>
      </c>
      <c r="E34" s="3" t="n">
        <v>55746165</v>
      </c>
      <c r="F34" s="3">
        <f>E34-D34</f>
        <v/>
      </c>
      <c r="G34">
        <f>IF(ABS(F34)&lt;1,"Igual","Examinar reclassificação")</f>
        <v/>
      </c>
    </row>
    <row r="35">
      <c r="A35" t="inlineStr">
        <is>
          <t>BPP</t>
        </is>
      </c>
      <c r="B35" t="inlineStr">
        <is>
          <t>2.01</t>
        </is>
      </c>
      <c r="C35" t="inlineStr">
        <is>
          <t>Passivo Circulante</t>
        </is>
      </c>
      <c r="D35" s="3" t="n">
        <v>3688444</v>
      </c>
      <c r="E35" s="3" t="n">
        <v>3688444</v>
      </c>
      <c r="F35" s="3">
        <f>E35-D35</f>
        <v/>
      </c>
      <c r="G35">
        <f>IF(ABS(F35)&lt;1,"Igual","Examinar reclassificação")</f>
        <v/>
      </c>
    </row>
    <row r="36">
      <c r="A36" t="inlineStr">
        <is>
          <t>BPP</t>
        </is>
      </c>
      <c r="B36" t="inlineStr">
        <is>
          <t>2.01.01</t>
        </is>
      </c>
      <c r="C36" t="inlineStr">
        <is>
          <t>Obrigações Sociais e Trabalhistas</t>
        </is>
      </c>
      <c r="D36" s="3" t="n">
        <v>252270</v>
      </c>
      <c r="E36" s="3" t="n">
        <v>252270</v>
      </c>
      <c r="F36" s="3">
        <f>E36-D36</f>
        <v/>
      </c>
      <c r="G36">
        <f>IF(ABS(F36)&lt;1,"Igual","Examinar reclassificação")</f>
        <v/>
      </c>
    </row>
    <row r="37">
      <c r="A37" t="inlineStr">
        <is>
          <t>BPP</t>
        </is>
      </c>
      <c r="B37" t="inlineStr">
        <is>
          <t>2.01.01.02</t>
        </is>
      </c>
      <c r="C37" t="inlineStr">
        <is>
          <t>Obrigações Trabalhistas</t>
        </is>
      </c>
      <c r="D37" s="3" t="n">
        <v>252270</v>
      </c>
      <c r="E37" s="3" t="n">
        <v>252270</v>
      </c>
      <c r="F37" s="3">
        <f>E37-D37</f>
        <v/>
      </c>
      <c r="G37">
        <f>IF(ABS(F37)&lt;1,"Igual","Examinar reclassificação")</f>
        <v/>
      </c>
    </row>
    <row r="38">
      <c r="A38" t="inlineStr">
        <is>
          <t>BPP</t>
        </is>
      </c>
      <c r="B38" t="inlineStr">
        <is>
          <t>2.01.01.02.04</t>
        </is>
      </c>
      <c r="C38" t="inlineStr">
        <is>
          <t>Outras Obrigações Trabalhistas</t>
        </is>
      </c>
      <c r="D38" s="3" t="n">
        <v>252270</v>
      </c>
      <c r="E38" s="3" t="n">
        <v>252270</v>
      </c>
      <c r="F38" s="3">
        <f>E38-D38</f>
        <v/>
      </c>
      <c r="G38">
        <f>IF(ABS(F38)&lt;1,"Igual","Examinar reclassificação")</f>
        <v/>
      </c>
    </row>
    <row r="39">
      <c r="A39" t="inlineStr">
        <is>
          <t>BPP</t>
        </is>
      </c>
      <c r="B39" t="inlineStr">
        <is>
          <t>2.01.02</t>
        </is>
      </c>
      <c r="C39" t="inlineStr">
        <is>
          <t>Fornecedores</t>
        </is>
      </c>
      <c r="D39" s="3" t="n">
        <v>757596</v>
      </c>
      <c r="E39" s="3" t="n">
        <v>757596</v>
      </c>
      <c r="F39" s="3">
        <f>E39-D39</f>
        <v/>
      </c>
      <c r="G39">
        <f>IF(ABS(F39)&lt;1,"Igual","Examinar reclassificação")</f>
        <v/>
      </c>
    </row>
    <row r="40">
      <c r="A40" t="inlineStr">
        <is>
          <t>BPP</t>
        </is>
      </c>
      <c r="B40" t="inlineStr">
        <is>
          <t>2.01.02.01</t>
        </is>
      </c>
      <c r="C40" t="inlineStr">
        <is>
          <t>Fornecedores Nacionais</t>
        </is>
      </c>
      <c r="D40" s="3" t="n">
        <v>382868</v>
      </c>
      <c r="E40" s="3" t="n">
        <v>382868</v>
      </c>
      <c r="F40" s="3">
        <f>E40-D40</f>
        <v/>
      </c>
      <c r="G40">
        <f>IF(ABS(F40)&lt;1,"Igual","Examinar reclassificação")</f>
        <v/>
      </c>
    </row>
    <row r="41">
      <c r="A41" t="inlineStr">
        <is>
          <t>BPP</t>
        </is>
      </c>
      <c r="B41" t="inlineStr">
        <is>
          <t>2.01.02.02</t>
        </is>
      </c>
      <c r="C41" t="inlineStr">
        <is>
          <t>Fornecedores Estrangeiros</t>
        </is>
      </c>
      <c r="D41" s="3" t="n">
        <v>374728</v>
      </c>
      <c r="E41" s="3" t="n">
        <v>374728</v>
      </c>
      <c r="F41" s="3">
        <f>E41-D41</f>
        <v/>
      </c>
      <c r="G41">
        <f>IF(ABS(F41)&lt;1,"Igual","Examinar reclassificação")</f>
        <v/>
      </c>
    </row>
    <row r="42">
      <c r="A42" t="inlineStr">
        <is>
          <t>BPP</t>
        </is>
      </c>
      <c r="B42" t="inlineStr">
        <is>
          <t>2.01.03</t>
        </is>
      </c>
      <c r="C42" t="inlineStr">
        <is>
          <t>Obrigações Fiscais</t>
        </is>
      </c>
      <c r="D42" s="3" t="n">
        <v>830285</v>
      </c>
      <c r="E42" s="3" t="n">
        <v>830285</v>
      </c>
      <c r="F42" s="3">
        <f>E42-D42</f>
        <v/>
      </c>
      <c r="G42">
        <f>IF(ABS(F42)&lt;1,"Igual","Examinar reclassificação")</f>
        <v/>
      </c>
    </row>
    <row r="43">
      <c r="A43" t="inlineStr">
        <is>
          <t>BPP</t>
        </is>
      </c>
      <c r="B43" t="inlineStr">
        <is>
          <t>2.01.03.01</t>
        </is>
      </c>
      <c r="C43" t="inlineStr">
        <is>
          <t>Obrigações Fiscais Federais</t>
        </is>
      </c>
      <c r="D43" s="3" t="n">
        <v>830285</v>
      </c>
      <c r="E43" s="3" t="n">
        <v>830285</v>
      </c>
      <c r="F43" s="3">
        <f>E43-D43</f>
        <v/>
      </c>
      <c r="G43">
        <f>IF(ABS(F43)&lt;1,"Igual","Examinar reclassificação")</f>
        <v/>
      </c>
    </row>
    <row r="44">
      <c r="A44" t="inlineStr">
        <is>
          <t>BPP</t>
        </is>
      </c>
      <c r="B44" t="inlineStr">
        <is>
          <t>2.01.03.01.01</t>
        </is>
      </c>
      <c r="C44" t="inlineStr">
        <is>
          <t>Imposto de Renda e Contribuição Social a Pagar</t>
        </is>
      </c>
      <c r="D44" s="3" t="n">
        <v>502772</v>
      </c>
      <c r="E44" s="3" t="n">
        <v>502772</v>
      </c>
      <c r="F44" s="3">
        <f>E44-D44</f>
        <v/>
      </c>
      <c r="G44">
        <f>IF(ABS(F44)&lt;1,"Igual","Examinar reclassificação")</f>
        <v/>
      </c>
    </row>
    <row r="45">
      <c r="A45" t="inlineStr">
        <is>
          <t>BPP</t>
        </is>
      </c>
      <c r="B45" t="inlineStr">
        <is>
          <t>2.01.03.01.20</t>
        </is>
      </c>
      <c r="C45" t="inlineStr">
        <is>
          <t>Outros</t>
        </is>
      </c>
      <c r="D45" s="3" t="n">
        <v>327513</v>
      </c>
      <c r="E45" s="3" t="n">
        <v>327513</v>
      </c>
      <c r="F45" s="3">
        <f>E45-D45</f>
        <v/>
      </c>
      <c r="G45">
        <f>IF(ABS(F45)&lt;1,"Igual","Examinar reclassificação")</f>
        <v/>
      </c>
    </row>
    <row r="46">
      <c r="A46" t="inlineStr">
        <is>
          <t>BPP</t>
        </is>
      </c>
      <c r="B46" t="inlineStr">
        <is>
          <t>2.01.04</t>
        </is>
      </c>
      <c r="C46" t="inlineStr">
        <is>
          <t>Empréstimos e Financiamentos</t>
        </is>
      </c>
      <c r="D46" s="3" t="n">
        <v>578893</v>
      </c>
      <c r="E46" s="3" t="n">
        <v>578893</v>
      </c>
      <c r="F46" s="3">
        <f>E46-D46</f>
        <v/>
      </c>
      <c r="G46">
        <f>IF(ABS(F46)&lt;1,"Igual","Examinar reclassificação")</f>
        <v/>
      </c>
    </row>
    <row r="47">
      <c r="A47" t="inlineStr">
        <is>
          <t>BPP</t>
        </is>
      </c>
      <c r="B47" t="inlineStr">
        <is>
          <t>2.01.04.01</t>
        </is>
      </c>
      <c r="C47" t="inlineStr">
        <is>
          <t>Empréstimos e Financiamentos</t>
        </is>
      </c>
      <c r="D47" s="3" t="n">
        <v>116157</v>
      </c>
      <c r="E47" s="3" t="n">
        <v>116157</v>
      </c>
      <c r="F47" s="3">
        <f>E47-D47</f>
        <v/>
      </c>
      <c r="G47">
        <f>IF(ABS(F47)&lt;1,"Igual","Examinar reclassificação")</f>
        <v/>
      </c>
    </row>
    <row r="48">
      <c r="A48" t="inlineStr">
        <is>
          <t>BPP</t>
        </is>
      </c>
      <c r="B48" t="inlineStr">
        <is>
          <t>2.01.04.01.02</t>
        </is>
      </c>
      <c r="C48" t="inlineStr">
        <is>
          <t>Em Moeda Estrangeira</t>
        </is>
      </c>
      <c r="D48" s="3" t="n">
        <v>116157</v>
      </c>
      <c r="E48" s="3" t="n">
        <v>116157</v>
      </c>
      <c r="F48" s="3">
        <f>E48-D48</f>
        <v/>
      </c>
      <c r="G48">
        <f>IF(ABS(F48)&lt;1,"Igual","Examinar reclassificação")</f>
        <v/>
      </c>
    </row>
    <row r="49">
      <c r="A49" t="inlineStr">
        <is>
          <t>BPP</t>
        </is>
      </c>
      <c r="B49" t="inlineStr">
        <is>
          <t>2.01.04.02</t>
        </is>
      </c>
      <c r="C49" t="inlineStr">
        <is>
          <t>Debêntures</t>
        </is>
      </c>
      <c r="D49" s="3" t="n">
        <v>133066</v>
      </c>
      <c r="E49" s="3" t="n">
        <v>133066</v>
      </c>
      <c r="F49" s="3">
        <f>E49-D49</f>
        <v/>
      </c>
      <c r="G49">
        <f>IF(ABS(F49)&lt;1,"Igual","Examinar reclassificação")</f>
        <v/>
      </c>
    </row>
    <row r="50">
      <c r="A50" t="inlineStr">
        <is>
          <t>BPP</t>
        </is>
      </c>
      <c r="B50" t="inlineStr">
        <is>
          <t>2.01.04.03</t>
        </is>
      </c>
      <c r="C50" t="inlineStr">
        <is>
          <t>Financiamento por Arrendamento</t>
        </is>
      </c>
      <c r="D50" s="3" t="n">
        <v>329670</v>
      </c>
      <c r="E50" s="3" t="n">
        <v>329670</v>
      </c>
      <c r="F50" s="3">
        <f>E50-D50</f>
        <v/>
      </c>
      <c r="G50">
        <f>IF(ABS(F50)&lt;1,"Igual","Examinar reclassificação")</f>
        <v/>
      </c>
    </row>
    <row r="51">
      <c r="A51" t="inlineStr">
        <is>
          <t>BPP</t>
        </is>
      </c>
      <c r="B51" t="inlineStr">
        <is>
          <t>2.01.05</t>
        </is>
      </c>
      <c r="C51" t="inlineStr">
        <is>
          <t>Outras Obrigações</t>
        </is>
      </c>
      <c r="D51" s="3" t="n">
        <v>1269400</v>
      </c>
      <c r="E51" s="3" t="n">
        <v>1269400</v>
      </c>
      <c r="F51" s="3">
        <f>E51-D51</f>
        <v/>
      </c>
      <c r="G51">
        <f>IF(ABS(F51)&lt;1,"Igual","Examinar reclassificação")</f>
        <v/>
      </c>
    </row>
    <row r="52">
      <c r="A52" t="inlineStr">
        <is>
          <t>BPP</t>
        </is>
      </c>
      <c r="B52" t="inlineStr">
        <is>
          <t>2.01.05.02</t>
        </is>
      </c>
      <c r="C52" t="inlineStr">
        <is>
          <t>Outros</t>
        </is>
      </c>
      <c r="D52" s="3" t="n">
        <v>1269400</v>
      </c>
      <c r="E52" s="3" t="n">
        <v>1269400</v>
      </c>
      <c r="F52" s="3">
        <f>E52-D52</f>
        <v/>
      </c>
      <c r="G52">
        <f>IF(ABS(F52)&lt;1,"Igual","Examinar reclassificação")</f>
        <v/>
      </c>
    </row>
    <row r="53">
      <c r="A53" t="inlineStr">
        <is>
          <t>BPP</t>
        </is>
      </c>
      <c r="B53" t="inlineStr">
        <is>
          <t>2.01.05.02.08</t>
        </is>
      </c>
      <c r="C53" t="inlineStr">
        <is>
          <t>Adiantamento de Parceiros</t>
        </is>
      </c>
      <c r="D53" s="3" t="n">
        <v>191816</v>
      </c>
      <c r="E53" s="3" t="n">
        <v>191816</v>
      </c>
      <c r="F53" s="3">
        <f>E53-D53</f>
        <v/>
      </c>
      <c r="G53">
        <f>IF(ABS(F53)&lt;1,"Igual","Examinar reclassificação")</f>
        <v/>
      </c>
    </row>
    <row r="54">
      <c r="A54" t="inlineStr">
        <is>
          <t>BPP</t>
        </is>
      </c>
      <c r="B54" t="inlineStr">
        <is>
          <t>2.01.05.02.11</t>
        </is>
      </c>
      <c r="C54" t="inlineStr">
        <is>
          <t>Contas a pagar earn out Albacora</t>
        </is>
      </c>
      <c r="D54" s="3" t="n">
        <v>1077584</v>
      </c>
      <c r="E54" s="3" t="n">
        <v>1077584</v>
      </c>
      <c r="F54" s="3">
        <f>E54-D54</f>
        <v/>
      </c>
      <c r="G54">
        <f>IF(ABS(F54)&lt;1,"Igual","Examinar reclassificação")</f>
        <v/>
      </c>
    </row>
    <row r="55">
      <c r="A55" t="inlineStr">
        <is>
          <t>BPP</t>
        </is>
      </c>
      <c r="B55" t="inlineStr">
        <is>
          <t>2.02</t>
        </is>
      </c>
      <c r="C55" t="inlineStr">
        <is>
          <t>Passivo Não Circulante</t>
        </is>
      </c>
      <c r="D55" s="3" t="n">
        <v>26133529</v>
      </c>
      <c r="E55" s="3" t="n">
        <v>26133529</v>
      </c>
      <c r="F55" s="3">
        <f>E55-D55</f>
        <v/>
      </c>
      <c r="G55">
        <f>IF(ABS(F55)&lt;1,"Igual","Examinar reclassificação")</f>
        <v/>
      </c>
    </row>
    <row r="56">
      <c r="A56" t="inlineStr">
        <is>
          <t>BPP</t>
        </is>
      </c>
      <c r="B56" t="inlineStr">
        <is>
          <t>2.02.01</t>
        </is>
      </c>
      <c r="C56" t="inlineStr">
        <is>
          <t>Empréstimos e Financiamentos</t>
        </is>
      </c>
      <c r="D56" s="3" t="n">
        <v>21854784</v>
      </c>
      <c r="E56" s="3" t="n">
        <v>21854784</v>
      </c>
      <c r="F56" s="3">
        <f>E56-D56</f>
        <v/>
      </c>
      <c r="G56">
        <f>IF(ABS(F56)&lt;1,"Igual","Examinar reclassificação")</f>
        <v/>
      </c>
    </row>
    <row r="57">
      <c r="A57" t="inlineStr">
        <is>
          <t>BPP</t>
        </is>
      </c>
      <c r="B57" t="inlineStr">
        <is>
          <t>2.02.01.01</t>
        </is>
      </c>
      <c r="C57" t="inlineStr">
        <is>
          <t>Empréstimos e Financiamentos</t>
        </is>
      </c>
      <c r="D57" s="3" t="n">
        <v>11819920</v>
      </c>
      <c r="E57" s="3" t="n">
        <v>11819920</v>
      </c>
      <c r="F57" s="3">
        <f>E57-D57</f>
        <v/>
      </c>
      <c r="G57">
        <f>IF(ABS(F57)&lt;1,"Igual","Examinar reclassificação")</f>
        <v/>
      </c>
    </row>
    <row r="58">
      <c r="A58" t="inlineStr">
        <is>
          <t>BPP</t>
        </is>
      </c>
      <c r="B58" t="inlineStr">
        <is>
          <t>2.02.01.01.02</t>
        </is>
      </c>
      <c r="C58" t="inlineStr">
        <is>
          <t>Em Moeda Estrangeira</t>
        </is>
      </c>
      <c r="D58" s="3" t="n">
        <v>11819920</v>
      </c>
      <c r="E58" s="3" t="n">
        <v>11819920</v>
      </c>
      <c r="F58" s="3">
        <f>E58-D58</f>
        <v/>
      </c>
      <c r="G58">
        <f>IF(ABS(F58)&lt;1,"Igual","Examinar reclassificação")</f>
        <v/>
      </c>
    </row>
    <row r="59">
      <c r="A59" t="inlineStr">
        <is>
          <t>BPP</t>
        </is>
      </c>
      <c r="B59" t="inlineStr">
        <is>
          <t>2.02.01.02</t>
        </is>
      </c>
      <c r="C59" t="inlineStr">
        <is>
          <t>Debêntures</t>
        </is>
      </c>
      <c r="D59" s="3" t="n">
        <v>7816048</v>
      </c>
      <c r="E59" s="3" t="n">
        <v>7816048</v>
      </c>
      <c r="F59" s="3">
        <f>E59-D59</f>
        <v/>
      </c>
      <c r="G59">
        <f>IF(ABS(F59)&lt;1,"Igual","Examinar reclassificação")</f>
        <v/>
      </c>
    </row>
    <row r="60">
      <c r="A60" t="inlineStr">
        <is>
          <t>BPP</t>
        </is>
      </c>
      <c r="B60" t="inlineStr">
        <is>
          <t>2.02.01.03</t>
        </is>
      </c>
      <c r="C60" t="inlineStr">
        <is>
          <t>Financiamento por Arrendamento</t>
        </is>
      </c>
      <c r="D60" s="3" t="n">
        <v>2218816</v>
      </c>
      <c r="E60" s="3" t="n">
        <v>2218816</v>
      </c>
      <c r="F60" s="3">
        <f>E60-D60</f>
        <v/>
      </c>
      <c r="G60">
        <f>IF(ABS(F60)&lt;1,"Igual","Examinar reclassificação")</f>
        <v/>
      </c>
    </row>
    <row r="61">
      <c r="A61" t="inlineStr">
        <is>
          <t>BPP</t>
        </is>
      </c>
      <c r="B61" t="inlineStr">
        <is>
          <t>2.02.02</t>
        </is>
      </c>
      <c r="C61" t="inlineStr">
        <is>
          <t>Outras Obrigações</t>
        </is>
      </c>
      <c r="D61" s="3" t="n">
        <v>132943</v>
      </c>
      <c r="E61" s="3" t="n">
        <v>132943</v>
      </c>
      <c r="F61" s="3">
        <f>E61-D61</f>
        <v/>
      </c>
      <c r="G61">
        <f>IF(ABS(F61)&lt;1,"Igual","Examinar reclassificação")</f>
        <v/>
      </c>
    </row>
    <row r="62">
      <c r="A62" t="inlineStr">
        <is>
          <t>BPP</t>
        </is>
      </c>
      <c r="B62" t="inlineStr">
        <is>
          <t>2.02.02.02</t>
        </is>
      </c>
      <c r="C62" t="inlineStr">
        <is>
          <t>Outros</t>
        </is>
      </c>
      <c r="D62" s="3" t="n">
        <v>132943</v>
      </c>
      <c r="E62" s="3" t="n">
        <v>132943</v>
      </c>
      <c r="F62" s="3">
        <f>E62-D62</f>
        <v/>
      </c>
      <c r="G62">
        <f>IF(ABS(F62)&lt;1,"Igual","Examinar reclassificação")</f>
        <v/>
      </c>
    </row>
    <row r="63">
      <c r="A63" t="inlineStr">
        <is>
          <t>BPP</t>
        </is>
      </c>
      <c r="B63" t="inlineStr">
        <is>
          <t>2.02.02.02.04</t>
        </is>
      </c>
      <c r="C63" t="inlineStr">
        <is>
          <t>Outras obrigações</t>
        </is>
      </c>
      <c r="D63" s="3" t="n">
        <v>132943</v>
      </c>
      <c r="E63" s="3" t="n">
        <v>132943</v>
      </c>
      <c r="F63" s="3">
        <f>E63-D63</f>
        <v/>
      </c>
      <c r="G63">
        <f>IF(ABS(F63)&lt;1,"Igual","Examinar reclassificação")</f>
        <v/>
      </c>
    </row>
    <row r="64">
      <c r="A64" t="inlineStr">
        <is>
          <t>BPP</t>
        </is>
      </c>
      <c r="B64" t="inlineStr">
        <is>
          <t>2.02.04</t>
        </is>
      </c>
      <c r="C64" t="inlineStr">
        <is>
          <t>Provisões</t>
        </is>
      </c>
      <c r="D64" s="3" t="n">
        <v>4145802</v>
      </c>
      <c r="E64" s="3" t="n">
        <v>4145802</v>
      </c>
      <c r="F64" s="3">
        <f>E64-D64</f>
        <v/>
      </c>
      <c r="G64">
        <f>IF(ABS(F64)&lt;1,"Igual","Examinar reclassificação")</f>
        <v/>
      </c>
    </row>
    <row r="65">
      <c r="A65" t="inlineStr">
        <is>
          <t>BPP</t>
        </is>
      </c>
      <c r="B65" t="inlineStr">
        <is>
          <t>2.02.04.01</t>
        </is>
      </c>
      <c r="C65" t="inlineStr">
        <is>
          <t>Provisões Fiscais Previdenciárias Trabalhistas e Cíveis</t>
        </is>
      </c>
      <c r="D65" s="3" t="n">
        <v>758036</v>
      </c>
      <c r="E65" s="3" t="n">
        <v>758036</v>
      </c>
      <c r="F65" s="3">
        <f>E65-D65</f>
        <v/>
      </c>
      <c r="G65">
        <f>IF(ABS(F65)&lt;1,"Igual","Examinar reclassificação")</f>
        <v/>
      </c>
    </row>
    <row r="66">
      <c r="A66" t="inlineStr">
        <is>
          <t>BPP</t>
        </is>
      </c>
      <c r="B66" t="inlineStr">
        <is>
          <t>2.02.04.01.01</t>
        </is>
      </c>
      <c r="C66" t="inlineStr">
        <is>
          <t>Provisões Fiscais</t>
        </is>
      </c>
      <c r="D66" s="3" t="n">
        <v>86297</v>
      </c>
      <c r="E66" s="3" t="n">
        <v>86297</v>
      </c>
      <c r="F66" s="3">
        <f>E66-D66</f>
        <v/>
      </c>
      <c r="G66">
        <f>IF(ABS(F66)&lt;1,"Igual","Examinar reclassificação")</f>
        <v/>
      </c>
    </row>
    <row r="67">
      <c r="A67" t="inlineStr">
        <is>
          <t>BPP</t>
        </is>
      </c>
      <c r="B67" t="inlineStr">
        <is>
          <t>2.02.04.01.02</t>
        </is>
      </c>
      <c r="C67" t="inlineStr">
        <is>
          <t>Provisões Previdenciárias e Trabalhistas</t>
        </is>
      </c>
      <c r="D67" s="3" t="n">
        <v>20819</v>
      </c>
      <c r="E67" s="3" t="n">
        <v>20819</v>
      </c>
      <c r="F67" s="3">
        <f>E67-D67</f>
        <v/>
      </c>
      <c r="G67">
        <f>IF(ABS(F67)&lt;1,"Igual","Examinar reclassificação")</f>
        <v/>
      </c>
    </row>
    <row r="68">
      <c r="A68" t="inlineStr">
        <is>
          <t>BPP</t>
        </is>
      </c>
      <c r="B68" t="inlineStr">
        <is>
          <t>2.02.04.01.04</t>
        </is>
      </c>
      <c r="C68" t="inlineStr">
        <is>
          <t>Provisões Cíveis</t>
        </is>
      </c>
      <c r="D68" s="3" t="n">
        <v>650920</v>
      </c>
      <c r="E68" s="3" t="n">
        <v>650920</v>
      </c>
      <c r="F68" s="3">
        <f>E68-D68</f>
        <v/>
      </c>
      <c r="G68">
        <f>IF(ABS(F68)&lt;1,"Igual","Examinar reclassificação")</f>
        <v/>
      </c>
    </row>
    <row r="69">
      <c r="A69" t="inlineStr">
        <is>
          <t>BPP</t>
        </is>
      </c>
      <c r="B69" t="inlineStr">
        <is>
          <t>2.02.04.02</t>
        </is>
      </c>
      <c r="C69" t="inlineStr">
        <is>
          <t>Outras Provisões</t>
        </is>
      </c>
      <c r="D69" s="3" t="n">
        <v>3387766</v>
      </c>
      <c r="E69" s="3" t="n">
        <v>3387766</v>
      </c>
      <c r="F69" s="3">
        <f>E69-D69</f>
        <v/>
      </c>
      <c r="G69">
        <f>IF(ABS(F69)&lt;1,"Igual","Examinar reclassificação")</f>
        <v/>
      </c>
    </row>
    <row r="70">
      <c r="A70" t="inlineStr">
        <is>
          <t>BPP</t>
        </is>
      </c>
      <c r="B70" t="inlineStr">
        <is>
          <t>2.02.04.02.03</t>
        </is>
      </c>
      <c r="C70" t="inlineStr">
        <is>
          <t>Provisões para Passivos Ambientais e de Desativação</t>
        </is>
      </c>
      <c r="D70" s="3" t="n">
        <v>3387766</v>
      </c>
      <c r="E70" s="3" t="n">
        <v>3387766</v>
      </c>
      <c r="F70" s="3">
        <f>E70-D70</f>
        <v/>
      </c>
      <c r="G70">
        <f>IF(ABS(F70)&lt;1,"Igual","Examinar reclassificação")</f>
        <v/>
      </c>
    </row>
    <row r="71">
      <c r="A71" t="inlineStr">
        <is>
          <t>BPP</t>
        </is>
      </c>
      <c r="B71" t="inlineStr">
        <is>
          <t>2.03</t>
        </is>
      </c>
      <c r="C71" t="inlineStr">
        <is>
          <t>Patrimônio Líquido Consolidado</t>
        </is>
      </c>
      <c r="D71" s="3" t="n">
        <v>25924192</v>
      </c>
      <c r="E71" s="3" t="n">
        <v>25924192</v>
      </c>
      <c r="F71" s="3">
        <f>E71-D71</f>
        <v/>
      </c>
      <c r="G71">
        <f>IF(ABS(F71)&lt;1,"Igual","Examinar reclassificação")</f>
        <v/>
      </c>
    </row>
    <row r="72">
      <c r="A72" t="inlineStr">
        <is>
          <t>BPP</t>
        </is>
      </c>
      <c r="B72" t="inlineStr">
        <is>
          <t>2.03.01</t>
        </is>
      </c>
      <c r="C72" t="inlineStr">
        <is>
          <t>Capital Social Realizado</t>
        </is>
      </c>
      <c r="D72" s="3" t="n">
        <v>10611387</v>
      </c>
      <c r="E72" s="3" t="n">
        <v>10611387</v>
      </c>
      <c r="F72" s="3">
        <f>E72-D72</f>
        <v/>
      </c>
      <c r="G72">
        <f>IF(ABS(F72)&lt;1,"Igual","Examinar reclassificação")</f>
        <v/>
      </c>
    </row>
    <row r="73">
      <c r="A73" t="inlineStr">
        <is>
          <t>BPP</t>
        </is>
      </c>
      <c r="B73" t="inlineStr">
        <is>
          <t>2.03.02</t>
        </is>
      </c>
      <c r="C73" t="inlineStr">
        <is>
          <t>Reservas de Capital</t>
        </is>
      </c>
      <c r="D73" s="3" t="n">
        <v>-1016199</v>
      </c>
      <c r="E73" s="3" t="n">
        <v>-1016199</v>
      </c>
      <c r="F73" s="3">
        <f>E73-D73</f>
        <v/>
      </c>
      <c r="G73">
        <f>IF(ABS(F73)&lt;1,"Igual","Examinar reclassificação")</f>
        <v/>
      </c>
    </row>
    <row r="74">
      <c r="A74" t="inlineStr">
        <is>
          <t>BPP</t>
        </is>
      </c>
      <c r="B74" t="inlineStr">
        <is>
          <t>2.03.02.01</t>
        </is>
      </c>
      <c r="C74" t="inlineStr">
        <is>
          <t>Ágio na Emissão de Ações</t>
        </is>
      </c>
      <c r="D74" s="3" t="n">
        <v>-32809</v>
      </c>
      <c r="E74" s="3" t="n">
        <v>-32809</v>
      </c>
      <c r="F74" s="3">
        <f>E74-D74</f>
        <v/>
      </c>
      <c r="G74">
        <f>IF(ABS(F74)&lt;1,"Igual","Examinar reclassificação")</f>
        <v/>
      </c>
    </row>
    <row r="75">
      <c r="A75" t="inlineStr">
        <is>
          <t>BPP</t>
        </is>
      </c>
      <c r="B75" t="inlineStr">
        <is>
          <t>2.03.02.04</t>
        </is>
      </c>
      <c r="C75" t="inlineStr">
        <is>
          <t>Opções Outorgadas</t>
        </is>
      </c>
      <c r="D75" s="3" t="n">
        <v>477648</v>
      </c>
      <c r="E75" s="3" t="n">
        <v>477648</v>
      </c>
      <c r="F75" s="3">
        <f>E75-D75</f>
        <v/>
      </c>
      <c r="G75">
        <f>IF(ABS(F75)&lt;1,"Igual","Examinar reclassificação")</f>
        <v/>
      </c>
    </row>
    <row r="76">
      <c r="A76" t="inlineStr">
        <is>
          <t>BPP</t>
        </is>
      </c>
      <c r="B76" t="inlineStr">
        <is>
          <t>2.03.02.05</t>
        </is>
      </c>
      <c r="C76" t="inlineStr">
        <is>
          <t>Ações em Tesouraria</t>
        </is>
      </c>
      <c r="D76" s="3" t="n">
        <v>-1461038</v>
      </c>
      <c r="E76" s="3" t="n">
        <v>-1490923</v>
      </c>
      <c r="F76" s="3">
        <f>E76-D76</f>
        <v/>
      </c>
      <c r="G76">
        <f>IF(ABS(F76)&lt;1,"Igual","Examinar reclassificação")</f>
        <v/>
      </c>
    </row>
    <row r="77">
      <c r="A77" t="inlineStr">
        <is>
          <t>BPP</t>
        </is>
      </c>
      <c r="B77" t="inlineStr">
        <is>
          <t>2.03.02.07</t>
        </is>
      </c>
      <c r="C77" t="inlineStr">
        <is>
          <t>Lucro na venda de Ações em Tesouraria</t>
        </is>
      </c>
      <c r="D77" s="3" t="n">
        <v>0</v>
      </c>
      <c r="E77" s="3" t="n">
        <v>29885</v>
      </c>
      <c r="F77" s="3">
        <f>E77-D77</f>
        <v/>
      </c>
      <c r="G77">
        <f>IF(ABS(F77)&lt;1,"Igual","Examinar reclassificação")</f>
        <v/>
      </c>
    </row>
    <row r="78">
      <c r="A78" t="inlineStr">
        <is>
          <t>BPP</t>
        </is>
      </c>
      <c r="B78" t="inlineStr">
        <is>
          <t>2.03.04</t>
        </is>
      </c>
      <c r="C78" t="inlineStr">
        <is>
          <t>Reservas de Lucros</t>
        </is>
      </c>
      <c r="D78" s="3" t="n">
        <v>13903347</v>
      </c>
      <c r="E78" s="3" t="n">
        <v>13903347</v>
      </c>
      <c r="F78" s="3">
        <f>E78-D78</f>
        <v/>
      </c>
      <c r="G78">
        <f>IF(ABS(F78)&lt;1,"Igual","Examinar reclassificação")</f>
        <v/>
      </c>
    </row>
    <row r="79">
      <c r="A79" t="inlineStr">
        <is>
          <t>BPP</t>
        </is>
      </c>
      <c r="B79" t="inlineStr">
        <is>
          <t>2.03.04.01</t>
        </is>
      </c>
      <c r="C79" t="inlineStr">
        <is>
          <t>Reserva Legal</t>
        </is>
      </c>
      <c r="D79" s="3" t="n">
        <v>958198</v>
      </c>
      <c r="E79" s="3" t="n">
        <v>958198</v>
      </c>
      <c r="F79" s="3">
        <f>E79-D79</f>
        <v/>
      </c>
      <c r="G79">
        <f>IF(ABS(F79)&lt;1,"Igual","Examinar reclassificação")</f>
        <v/>
      </c>
    </row>
    <row r="80">
      <c r="A80" t="inlineStr">
        <is>
          <t>BPP</t>
        </is>
      </c>
      <c r="B80" t="inlineStr">
        <is>
          <t>2.03.04.04</t>
        </is>
      </c>
      <c r="C80" t="inlineStr">
        <is>
          <t>Reserva de Lucros a Realizar</t>
        </is>
      </c>
      <c r="D80" s="3" t="n">
        <v>218</v>
      </c>
      <c r="E80" s="3" t="n">
        <v>218</v>
      </c>
      <c r="F80" s="3">
        <f>E80-D80</f>
        <v/>
      </c>
      <c r="G80">
        <f>IF(ABS(F80)&lt;1,"Igual","Examinar reclassificação")</f>
        <v/>
      </c>
    </row>
    <row r="81">
      <c r="A81" t="inlineStr">
        <is>
          <t>BPP</t>
        </is>
      </c>
      <c r="B81" t="inlineStr">
        <is>
          <t>2.03.04.10</t>
        </is>
      </c>
      <c r="C81" t="inlineStr">
        <is>
          <t>Reserva de Investimento</t>
        </is>
      </c>
      <c r="D81" s="3" t="n">
        <v>12944931</v>
      </c>
      <c r="E81" s="3" t="n">
        <v>12944931</v>
      </c>
      <c r="F81" s="3">
        <f>E81-D81</f>
        <v/>
      </c>
      <c r="G81">
        <f>IF(ABS(F81)&lt;1,"Igual","Examinar reclassificação")</f>
        <v/>
      </c>
    </row>
    <row r="82">
      <c r="A82" t="inlineStr">
        <is>
          <t>BPP</t>
        </is>
      </c>
      <c r="B82" t="inlineStr">
        <is>
          <t>2.03.06</t>
        </is>
      </c>
      <c r="C82" t="inlineStr">
        <is>
          <t>Ajustes de Avaliação Patrimonial</t>
        </is>
      </c>
      <c r="D82" s="3" t="n">
        <v>-1483243</v>
      </c>
      <c r="E82" s="3" t="n">
        <v>-1483243</v>
      </c>
      <c r="F82" s="3">
        <f>E82-D82</f>
        <v/>
      </c>
      <c r="G82">
        <f>IF(ABS(F82)&lt;1,"Igual","Examinar reclassificação")</f>
        <v/>
      </c>
    </row>
    <row r="83">
      <c r="A83" t="inlineStr">
        <is>
          <t>BPP</t>
        </is>
      </c>
      <c r="B83" t="inlineStr">
        <is>
          <t>2.03.07</t>
        </is>
      </c>
      <c r="C83" t="inlineStr">
        <is>
          <t>Ajustes Acumulados de Conversão</t>
        </is>
      </c>
      <c r="D83" s="3" t="n">
        <v>3908900</v>
      </c>
      <c r="E83" s="3" t="n">
        <v>3908900</v>
      </c>
      <c r="F83" s="3">
        <f>E83-D83</f>
        <v/>
      </c>
      <c r="G83">
        <f>IF(ABS(F83)&lt;1,"Igual","Examinar reclassificação")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2026-10-24T15:46:18Z</dcterms:created>
  <dcterms:modified xmlns:dcterms="http://purl.org/dc/terms/" xmlns:xsi="http://www.w3.org/2001/XMLSchema-instance" xsi:type="dcterms:W3CDTF">2026-10-24T15:46:18Z</dcterms:modified>
</cp:coreProperties>
</file>