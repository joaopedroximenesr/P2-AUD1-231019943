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450_Mapa" sheetId="1" state="visible" r:id="rId1"/>
    <sheet xmlns:r="http://schemas.openxmlformats.org/officeDocument/2006/relationships" name="Inseridos_x_Detectados" sheetId="2" state="visible" r:id="rId2"/>
    <sheet xmlns:r="http://schemas.openxmlformats.org/officeDocument/2006/relationships" name="PT600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26" customWidth="1" min="4" max="4"/>
    <col width="20" customWidth="1" min="5" max="5"/>
    <col width="14" customWidth="1" min="6" max="6"/>
    <col width="14" customWidth="1" min="7" max="7"/>
    <col width="26" customWidth="1" min="8" max="8"/>
    <col width="60" customWidth="1" min="9" max="9"/>
  </cols>
  <sheetData>
    <row r="1">
      <c r="A1" s="1" t="inlineStr">
        <is>
          <t>PT 450 - Mapa de distorções identificadas (públicas) e simuladas (R$ mil)</t>
        </is>
      </c>
    </row>
    <row r="2">
      <c r="A2" t="inlineStr">
        <is>
          <t>Norma: NBC TA 450 (R1) itens 5-13, A1-A23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t="inlineStr">
        <is>
          <t>MG</t>
        </is>
      </c>
      <c r="B5" t="n">
        <v>155000</v>
      </c>
      <c r="C5" t="inlineStr">
        <is>
          <t>ME</t>
        </is>
      </c>
      <c r="D5" t="n">
        <v>93000</v>
      </c>
      <c r="E5" t="inlineStr">
        <is>
          <t>Trivial</t>
        </is>
      </c>
      <c r="F5" t="n">
        <v>7750</v>
      </c>
    </row>
    <row r="7">
      <c r="A7" s="2" t="inlineStr">
        <is>
          <t>Ref.</t>
        </is>
      </c>
      <c r="B7" s="2" t="inlineStr">
        <is>
          <t>Origem</t>
        </is>
      </c>
      <c r="C7" s="2" t="inlineStr">
        <is>
          <t>Descrição</t>
        </is>
      </c>
      <c r="D7" s="2" t="inlineStr">
        <is>
          <t>Conta/divulgação</t>
        </is>
      </c>
      <c r="E7" s="2" t="inlineStr">
        <is>
          <t>Tipo (factual/julgamento/projetada)</t>
        </is>
      </c>
      <c r="F7" s="2" t="inlineStr">
        <is>
          <t>Ajuste proposto resultado (R$ mil)</t>
        </is>
      </c>
      <c r="G7" s="2" t="inlineStr">
        <is>
          <t>Ajuste proposto ativo/PL (R$ mil)</t>
        </is>
      </c>
      <c r="H7" s="2" t="inlineStr">
        <is>
          <t>Situação</t>
        </is>
      </c>
      <c r="I7" s="2" t="inlineStr">
        <is>
          <t>Avaliação qualitativa</t>
        </is>
      </c>
    </row>
    <row r="8">
      <c r="A8" t="inlineStr">
        <is>
          <t>D01</t>
        </is>
      </c>
      <c r="B8" t="inlineStr">
        <is>
          <t>Pública - DFP</t>
        </is>
      </c>
      <c r="C8" t="inlineStr">
        <is>
          <t>Divulgação das provisões cíveis na NE 30 não fecha com o BP: diferença de R$ 43.003 mil</t>
        </is>
      </c>
      <c r="D8" t="inlineStr">
        <is>
          <t>NE 30 / BP 2.02.04.01.04</t>
        </is>
      </c>
      <c r="E8" t="inlineStr">
        <is>
          <t>Factual (divulgação)</t>
        </is>
      </c>
      <c r="F8" s="3" t="n">
        <v>0</v>
      </c>
      <c r="G8" s="3" t="n">
        <v>0</v>
      </c>
      <c r="H8" t="inlineStr">
        <is>
          <t>Não corrigida (comunicar)</t>
        </is>
      </c>
      <c r="I8" t="inlineStr">
        <is>
          <t>Inconsistência de divulgação acima do trivial; não altera saldos</t>
        </is>
      </c>
    </row>
    <row r="9">
      <c r="A9" t="inlineStr">
        <is>
          <t>D02</t>
        </is>
      </c>
      <c r="B9" t="inlineStr">
        <is>
          <t>Pública - DFP</t>
        </is>
      </c>
      <c r="C9" t="inlineStr">
        <is>
          <t>Ausência de nota específica de estoques (R$ 3.109.940 mil; CPC 16 item 36)</t>
        </is>
      </c>
      <c r="D9" t="inlineStr">
        <is>
          <t>BP 1.01.04</t>
        </is>
      </c>
      <c r="E9" t="inlineStr">
        <is>
          <t>Julgamento (divulgação)</t>
        </is>
      </c>
      <c r="F9" s="3" t="n">
        <v>0</v>
      </c>
      <c r="G9" s="3" t="n">
        <v>0</v>
      </c>
      <c r="H9" t="inlineStr">
        <is>
          <t>Não corrigida (comunicar)</t>
        </is>
      </c>
      <c r="I9" t="inlineStr">
        <is>
          <t>Omissão de divulgação relevante por natureza; saldo &gt; MG</t>
        </is>
      </c>
    </row>
    <row r="10">
      <c r="A10" t="inlineStr">
        <is>
          <t>D03</t>
        </is>
      </c>
      <c r="B10" t="inlineStr">
        <is>
          <t>Pública - DFP</t>
        </is>
      </c>
      <c r="C10" t="inlineStr">
        <is>
          <t>Remissões incorretas: NE 2.16 cita NE 15 para empréstimo em reais (é NE 13) e 'Nota 2929'</t>
        </is>
      </c>
      <c r="D10" t="inlineStr">
        <is>
          <t>NE 2.16</t>
        </is>
      </c>
      <c r="E10" t="inlineStr">
        <is>
          <t>Factual (divulgação)</t>
        </is>
      </c>
      <c r="F10" s="3" t="n">
        <v>0</v>
      </c>
      <c r="G10" s="3" t="n">
        <v>0</v>
      </c>
      <c r="H10" t="inlineStr">
        <is>
          <t>Não corrigida</t>
        </is>
      </c>
      <c r="I10" t="inlineStr">
        <is>
          <t>Qualitativamente irrelevante; deficiência de revisão do relatório</t>
        </is>
      </c>
    </row>
    <row r="11">
      <c r="A11" t="inlineStr">
        <is>
          <t>D04</t>
        </is>
      </c>
      <c r="B11" t="inlineStr">
        <is>
          <t>Pública - DFP</t>
        </is>
      </c>
      <c r="C11" t="inlineStr">
        <is>
          <t>Reclassificação de R$ 29.885 mil entre ações em tesouraria e lucro na venda de ações nos comparativos sem nota</t>
        </is>
      </c>
      <c r="D11" t="inlineStr">
        <is>
          <t>PL 2.03.02</t>
        </is>
      </c>
      <c r="E11" t="inlineStr">
        <is>
          <t>Factual (apresentação)</t>
        </is>
      </c>
      <c r="F11" s="3" t="n">
        <v>0</v>
      </c>
      <c r="G11" s="3" t="n">
        <v>0</v>
      </c>
      <c r="H11" t="inlineStr">
        <is>
          <t>Não corrigida</t>
        </is>
      </c>
      <c r="I11" t="inlineStr">
        <is>
          <t>Sem efeito no PL total; CPC 23/CPC 26 item 41 requer divulgação</t>
        </is>
      </c>
    </row>
    <row r="12">
      <c r="A12" t="inlineStr">
        <is>
          <t>D05</t>
        </is>
      </c>
      <c r="B12" t="inlineStr">
        <is>
          <t>Pública - DFP</t>
        </is>
      </c>
      <c r="C12" t="inlineStr">
        <is>
          <t>MTM de swap de empréstimo (R$ 11.020 mil) apresentado na linha de debêntures</t>
        </is>
      </c>
      <c r="D12" t="inlineStr">
        <is>
          <t>BP 2.02.01.02</t>
        </is>
      </c>
      <c r="E12" t="inlineStr">
        <is>
          <t>Factual (classificação)</t>
        </is>
      </c>
      <c r="F12" s="3" t="n">
        <v>0</v>
      </c>
      <c r="G12" s="3" t="n">
        <v>0</v>
      </c>
      <c r="H12" t="inlineStr">
        <is>
          <t>Não corrigida</t>
        </is>
      </c>
      <c r="I12" t="inlineStr">
        <is>
          <t>Classificação dentro do mesmo grupo; abaixo da ME</t>
        </is>
      </c>
    </row>
    <row r="13">
      <c r="A13" t="inlineStr">
        <is>
          <t>D06</t>
        </is>
      </c>
      <c r="B13" t="inlineStr">
        <is>
          <t>Pública - DFP</t>
        </is>
      </c>
      <c r="C13" t="inlineStr">
        <is>
          <t>D&amp;A: DFC x DVA (R$ 1.035 mil) e CPV x NE 15 (R$ 5.147 mil)</t>
        </is>
      </c>
      <c r="D13" t="inlineStr">
        <is>
          <t>DFC/DVA/NE 15</t>
        </is>
      </c>
      <c r="E13" t="inlineStr">
        <is>
          <t>Factual</t>
        </is>
      </c>
      <c r="F13" s="3" t="n">
        <v>0</v>
      </c>
      <c r="G13" s="3" t="n">
        <v>0</v>
      </c>
      <c r="H13" t="inlineStr">
        <is>
          <t>Trivial - não acumular</t>
        </is>
      </c>
      <c r="I13" t="inlineStr">
        <is>
          <t>Abaixo do limite trivial</t>
        </is>
      </c>
    </row>
    <row r="14">
      <c r="A14" s="4" t="inlineStr">
        <is>
          <t>S01</t>
        </is>
      </c>
      <c r="B14" s="4" t="inlineStr">
        <is>
          <t>SIMULADA - base</t>
        </is>
      </c>
      <c r="C14" s="4" t="inlineStr">
        <is>
          <t>E09 Capitalização indevida de OPEX (lançamentos manuais)</t>
        </is>
      </c>
      <c r="D14" s="4" t="inlineStr">
        <is>
          <t>Imobilizado em andamento</t>
        </is>
      </c>
      <c r="E14" s="4" t="inlineStr">
        <is>
          <t>Factual (fraude simulada)</t>
        </is>
      </c>
      <c r="F14" s="5" t="n">
        <v>-282000</v>
      </c>
      <c r="G14" s="5" t="n">
        <v>-282000</v>
      </c>
      <c r="H14" s="4" t="inlineStr">
        <is>
          <t>Corrigida (simulação)</t>
        </is>
      </c>
      <c r="I14" s="4" t="inlineStr">
        <is>
          <t>Fraude: relevante por natureza independentemente do valor - comunicar à governança (NBC TA 240 item 40)</t>
        </is>
      </c>
    </row>
    <row r="15">
      <c r="A15" s="4" t="inlineStr">
        <is>
          <t>S02</t>
        </is>
      </c>
      <c r="B15" s="4" t="inlineStr">
        <is>
          <t>SIMULADA - base</t>
        </is>
      </c>
      <c r="C15" s="4" t="inlineStr">
        <is>
          <t>E06 Custos digitados x10</t>
        </is>
      </c>
      <c r="D15" s="4" t="inlineStr">
        <is>
          <t>Imobilizado em andamento</t>
        </is>
      </c>
      <c r="E15" s="4" t="inlineStr">
        <is>
          <t>Factual</t>
        </is>
      </c>
      <c r="F15" s="5" t="n">
        <v>0</v>
      </c>
      <c r="G15" s="5" t="n">
        <v>-32354.61687</v>
      </c>
      <c r="H15" s="4" t="inlineStr">
        <is>
          <t>Corrigida (simulação)</t>
        </is>
      </c>
      <c r="I15" s="4" t="inlineStr">
        <is>
          <t>Erro</t>
        </is>
      </c>
    </row>
    <row r="16">
      <c r="A16" s="4" t="inlineStr">
        <is>
          <t>S03</t>
        </is>
      </c>
      <c r="B16" s="4" t="inlineStr">
        <is>
          <t>SIMULADA - base</t>
        </is>
      </c>
      <c r="C16" s="4" t="inlineStr">
        <is>
          <t>E01 Duplicidades</t>
        </is>
      </c>
      <c r="D16" s="4" t="inlineStr">
        <is>
          <t>Imobilizado</t>
        </is>
      </c>
      <c r="E16" s="4" t="inlineStr">
        <is>
          <t>Factual</t>
        </is>
      </c>
      <c r="F16" s="5" t="n">
        <v>0</v>
      </c>
      <c r="G16" s="5" t="n">
        <v>-16579.85805</v>
      </c>
      <c r="H16" s="4" t="inlineStr">
        <is>
          <t>Corrigida (simulação)</t>
        </is>
      </c>
      <c r="I16" s="4" t="inlineStr">
        <is>
          <t>Erro</t>
        </is>
      </c>
    </row>
    <row r="17">
      <c r="A17" s="4" t="inlineStr">
        <is>
          <t>S04</t>
        </is>
      </c>
      <c r="B17" s="4" t="inlineStr">
        <is>
          <t>SIMULADA - base</t>
        </is>
      </c>
      <c r="C17" s="4" t="inlineStr">
        <is>
          <t>E02 Corte - NFs de 2026</t>
        </is>
      </c>
      <c r="D17" s="4" t="inlineStr">
        <is>
          <t>Imobilizado em andamento</t>
        </is>
      </c>
      <c r="E17" s="4" t="inlineStr">
        <is>
          <t>Factual</t>
        </is>
      </c>
      <c r="F17" s="5" t="n">
        <v>0</v>
      </c>
      <c r="G17" s="5" t="n">
        <v>-1044.30255</v>
      </c>
      <c r="H17" s="4" t="inlineStr">
        <is>
          <t>Corrigida (simulação)</t>
        </is>
      </c>
      <c r="I17" s="4" t="inlineStr">
        <is>
          <t>Erro de corte</t>
        </is>
      </c>
    </row>
    <row r="18">
      <c r="A18" s="4" t="inlineStr">
        <is>
          <t>S05</t>
        </is>
      </c>
      <c r="B18" s="4" t="inlineStr">
        <is>
          <t>SIMULADA - base</t>
        </is>
      </c>
      <c r="C18" s="4" t="inlineStr">
        <is>
          <t>E03 Depreciação acumulada &gt; custo</t>
        </is>
      </c>
      <c r="D18" s="4" t="inlineStr">
        <is>
          <t>Imobilizado em operação</t>
        </is>
      </c>
      <c r="E18" s="4" t="inlineStr">
        <is>
          <t>Factual</t>
        </is>
      </c>
      <c r="F18" s="5" t="n">
        <v>10085.9355</v>
      </c>
      <c r="G18" s="5" t="n">
        <v>10085.9355</v>
      </c>
      <c r="H18" s="4" t="inlineStr">
        <is>
          <t>Não corrigida</t>
        </is>
      </c>
      <c r="I18" s="4" t="inlineStr">
        <is>
          <t>Subavaliação</t>
        </is>
      </c>
    </row>
    <row r="19">
      <c r="A19" s="4" t="inlineStr">
        <is>
          <t>S06</t>
        </is>
      </c>
      <c r="B19" s="4" t="inlineStr">
        <is>
          <t>SIMULADA - base</t>
        </is>
      </c>
      <c r="C19" s="4" t="inlineStr">
        <is>
          <t>E04 Depreciação em ativo em andamento</t>
        </is>
      </c>
      <c r="D19" s="4" t="inlineStr">
        <is>
          <t>Imobilizado em andamento</t>
        </is>
      </c>
      <c r="E19" s="4" t="inlineStr">
        <is>
          <t>Factual</t>
        </is>
      </c>
      <c r="F19" s="5" t="n">
        <v>122.31145</v>
      </c>
      <c r="G19" s="5" t="n">
        <v>122.31145</v>
      </c>
      <c r="H19" s="4" t="inlineStr">
        <is>
          <t>Não corrigida</t>
        </is>
      </c>
      <c r="I19" s="4" t="inlineStr">
        <is>
          <t>Subavaliação</t>
        </is>
      </c>
    </row>
    <row r="20">
      <c r="A20" s="4" t="inlineStr">
        <is>
          <t>S07</t>
        </is>
      </c>
      <c r="B20" s="4" t="inlineStr">
        <is>
          <t>SIMULADA - base</t>
        </is>
      </c>
      <c r="C20" s="4" t="inlineStr">
        <is>
          <t>E05 Depreciação linear com metade da taxa</t>
        </is>
      </c>
      <c r="D20" s="4" t="inlineStr">
        <is>
          <t>Imobilizado em operação</t>
        </is>
      </c>
      <c r="E20" s="4" t="inlineStr">
        <is>
          <t>Factual</t>
        </is>
      </c>
      <c r="F20" s="5" t="n">
        <v>-3249.44904</v>
      </c>
      <c r="G20" s="5" t="n">
        <v>-3249.44904</v>
      </c>
      <c r="H20" s="4" t="inlineStr">
        <is>
          <t>Não corrigida</t>
        </is>
      </c>
      <c r="I20" s="4" t="inlineStr">
        <is>
          <t>Superavaliação</t>
        </is>
      </c>
    </row>
    <row r="22">
      <c r="C22" s="6" t="inlineStr">
        <is>
          <t>Total das distorções NÃO corrigidas (efeito ativo/PL)</t>
        </is>
      </c>
      <c r="G22" s="3">
        <f>SUMPRODUCT((H8:H20="Não corrigida")*G8:G20)</f>
        <v/>
      </c>
    </row>
    <row r="23">
      <c r="C23" s="6" t="inlineStr">
        <is>
          <t>% da materialidade global</t>
        </is>
      </c>
      <c r="G23" s="7">
        <f>ABS(G22)/B5</f>
        <v/>
      </c>
    </row>
    <row r="24">
      <c r="C24" s="6" t="inlineStr">
        <is>
          <t>Total corrigido (simulação)</t>
        </is>
      </c>
      <c r="G24" s="3">
        <f>SUMPRODUCT((H8:H20="Corrigida (simulação)")*G8:G20)</f>
        <v/>
      </c>
    </row>
    <row r="25">
      <c r="C25" s="6" t="inlineStr">
        <is>
          <t>Conclusão quantitativa</t>
        </is>
      </c>
      <c r="G25">
        <f>IF(ABS(G22)&lt;F5,"Abaixo do trivial",IF(ABS(G22)&lt;D5,"Abaixo da ME","Avaliar efeito na opinião"))</f>
        <v/>
      </c>
    </row>
    <row r="27">
      <c r="C27" t="inlineStr">
        <is>
          <t>LSD do MUS após ajustes simulados: R$ 78.1 mi (&lt; distorção tolerável de R$ 93 mi).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14" customWidth="1" min="9" max="9"/>
  </cols>
  <sheetData>
    <row r="1">
      <c r="A1" s="1" t="inlineStr">
        <is>
          <t>Registro comparativo: erros inseridos x exceções identificadas</t>
        </is>
      </c>
    </row>
    <row r="2">
      <c r="A2" t="inlineStr">
        <is>
          <t>Norma: Exigência do item 3 das instruções | Preparador: Matrícula 231019943 | Data: 23/10/2026 | Revisão: ________ (campo em branco)</t>
        </is>
      </c>
    </row>
    <row r="3">
      <c r="A3" s="4" t="inlineStr">
        <is>
          <t>Células amarelas = premissas editáveis; demais valores são fórmulas.  *** DADOS SINTÉTICOS PARA FINS DIDÁTICOS ***</t>
        </is>
      </c>
    </row>
    <row r="5">
      <c r="A5" s="2" t="inlineStr">
        <is>
          <t>tipo_erro_inserido</t>
        </is>
      </c>
      <c r="B5" s="2" t="inlineStr">
        <is>
          <t>teste</t>
        </is>
      </c>
      <c r="C5" s="2" t="inlineStr">
        <is>
          <t>inseridos</t>
        </is>
      </c>
      <c r="D5" s="2" t="inlineStr">
        <is>
          <t>detectados</t>
        </is>
      </c>
      <c r="E5" s="2" t="inlineStr">
        <is>
          <t>nao_detectados</t>
        </is>
      </c>
      <c r="F5" s="2" t="inlineStr">
        <is>
          <t>taxa_deteccao</t>
        </is>
      </c>
      <c r="G5" s="2" t="inlineStr">
        <is>
          <t>sinalizados_total</t>
        </is>
      </c>
      <c r="H5" s="2" t="inlineStr">
        <is>
          <t>sinalizados_outros_erros_inseridos</t>
        </is>
      </c>
      <c r="I5" s="2" t="inlineStr">
        <is>
          <t>falsos_positivos</t>
        </is>
      </c>
    </row>
    <row r="6">
      <c r="A6" t="inlineStr">
        <is>
          <t>E01-Duplicidade</t>
        </is>
      </c>
      <c r="B6" t="inlineStr">
        <is>
          <t>T01_duplicidade</t>
        </is>
      </c>
      <c r="C6" t="n">
        <v>120</v>
      </c>
      <c r="D6" t="n">
        <v>120</v>
      </c>
      <c r="E6" t="n">
        <v>0</v>
      </c>
      <c r="F6" t="n">
        <v>1</v>
      </c>
      <c r="G6" t="n">
        <v>120</v>
      </c>
      <c r="H6" t="n">
        <v>0</v>
      </c>
      <c r="I6" t="n">
        <v>0</v>
      </c>
    </row>
    <row r="7">
      <c r="A7" t="inlineStr">
        <is>
          <t>E02-Corte</t>
        </is>
      </c>
      <c r="B7" t="inlineStr">
        <is>
          <t>T02_corte</t>
        </is>
      </c>
      <c r="C7" t="n">
        <v>60</v>
      </c>
      <c r="D7" t="n">
        <v>60</v>
      </c>
      <c r="E7" t="n">
        <v>0</v>
      </c>
      <c r="F7" t="n">
        <v>1</v>
      </c>
      <c r="G7" t="n">
        <v>60</v>
      </c>
      <c r="H7" t="n">
        <v>0</v>
      </c>
      <c r="I7" t="n">
        <v>0</v>
      </c>
    </row>
    <row r="8">
      <c r="A8" t="inlineStr">
        <is>
          <t>E03-VC negativo</t>
        </is>
      </c>
      <c r="B8" t="inlineStr">
        <is>
          <t>T03_vc_negativo</t>
        </is>
      </c>
      <c r="C8" t="n">
        <v>40</v>
      </c>
      <c r="D8" t="n">
        <v>40</v>
      </c>
      <c r="E8" t="n">
        <v>0</v>
      </c>
      <c r="F8" t="n">
        <v>1</v>
      </c>
      <c r="G8" t="n">
        <v>40</v>
      </c>
      <c r="H8" t="n">
        <v>0</v>
      </c>
      <c r="I8" t="n">
        <v>0</v>
      </c>
    </row>
    <row r="9">
      <c r="A9" t="inlineStr">
        <is>
          <t>E04-Depreciação em andamento</t>
        </is>
      </c>
      <c r="B9" t="inlineStr">
        <is>
          <t>T04_deprec_andamento</t>
        </is>
      </c>
      <c r="C9" t="n">
        <v>50</v>
      </c>
      <c r="D9" t="n">
        <v>50</v>
      </c>
      <c r="E9" t="n">
        <v>0</v>
      </c>
      <c r="F9" t="n">
        <v>1</v>
      </c>
      <c r="G9" t="n">
        <v>50</v>
      </c>
      <c r="H9" t="n">
        <v>0</v>
      </c>
      <c r="I9" t="n">
        <v>0</v>
      </c>
    </row>
    <row r="10">
      <c r="A10" t="inlineStr">
        <is>
          <t>E05-Taxa incorreta</t>
        </is>
      </c>
      <c r="B10" t="inlineStr">
        <is>
          <t>T05_recalculo_linear</t>
        </is>
      </c>
      <c r="C10" t="n">
        <v>80</v>
      </c>
      <c r="D10" t="n">
        <v>80</v>
      </c>
      <c r="E10" t="n">
        <v>0</v>
      </c>
      <c r="F10" t="n">
        <v>1</v>
      </c>
      <c r="G10" t="n">
        <v>80</v>
      </c>
      <c r="H10" t="n">
        <v>0</v>
      </c>
      <c r="I10" t="n">
        <v>0</v>
      </c>
    </row>
    <row r="11">
      <c r="A11" t="inlineStr">
        <is>
          <t>E06-Digitação x10</t>
        </is>
      </c>
      <c r="B11" t="inlineStr">
        <is>
          <t>T06_inconsistencia_conversao</t>
        </is>
      </c>
      <c r="C11" t="n">
        <v>30</v>
      </c>
      <c r="D11" t="n">
        <v>30</v>
      </c>
      <c r="E11" t="n">
        <v>0</v>
      </c>
      <c r="F11" t="n">
        <v>1</v>
      </c>
      <c r="G11" t="n">
        <v>55</v>
      </c>
      <c r="H11" t="n">
        <v>25</v>
      </c>
      <c r="I11" t="n">
        <v>0</v>
      </c>
    </row>
    <row r="12">
      <c r="A12" t="inlineStr">
        <is>
          <t>E07-Segregação de funções</t>
        </is>
      </c>
      <c r="B12" t="inlineStr">
        <is>
          <t>T07_segregacao</t>
        </is>
      </c>
      <c r="C12" t="n">
        <v>150</v>
      </c>
      <c r="D12" t="n">
        <v>150</v>
      </c>
      <c r="E12" t="n">
        <v>0</v>
      </c>
      <c r="F12" t="n">
        <v>1</v>
      </c>
      <c r="G12" t="n">
        <v>175</v>
      </c>
      <c r="H12" t="n">
        <v>25</v>
      </c>
      <c r="I12" t="n">
        <v>0</v>
      </c>
    </row>
    <row r="13">
      <c r="A13" t="inlineStr">
        <is>
          <t>E08-Alçada</t>
        </is>
      </c>
      <c r="B13" t="inlineStr">
        <is>
          <t>T08_alcada</t>
        </is>
      </c>
      <c r="C13" t="n">
        <v>60</v>
      </c>
      <c r="D13" t="n">
        <v>60</v>
      </c>
      <c r="E13" t="n">
        <v>0</v>
      </c>
      <c r="F13" t="n">
        <v>1</v>
      </c>
      <c r="G13" t="n">
        <v>82</v>
      </c>
      <c r="H13" t="n">
        <v>22</v>
      </c>
      <c r="I13" t="n">
        <v>0</v>
      </c>
    </row>
    <row r="14">
      <c r="A14" t="inlineStr">
        <is>
          <t>E09-Lançamento manual suspeito</t>
        </is>
      </c>
      <c r="B14" t="inlineStr">
        <is>
          <t>T09_lancamento_suspeito</t>
        </is>
      </c>
      <c r="C14" t="n">
        <v>25</v>
      </c>
      <c r="D14" t="n">
        <v>25</v>
      </c>
      <c r="E14" t="n">
        <v>0</v>
      </c>
      <c r="F14" t="n">
        <v>1</v>
      </c>
      <c r="G14" t="n">
        <v>25</v>
      </c>
      <c r="H14" t="n">
        <v>0</v>
      </c>
      <c r="I14" t="n">
        <v>0</v>
      </c>
    </row>
    <row r="15">
      <c r="A15" t="inlineStr">
        <is>
          <t>E10-Entidade/UGC incoerente</t>
        </is>
      </c>
      <c r="B15" t="inlineStr">
        <is>
          <t>T10_entidade_ugc</t>
        </is>
      </c>
      <c r="C15" t="n">
        <v>40</v>
      </c>
      <c r="D15" t="n">
        <v>40</v>
      </c>
      <c r="E15" t="n">
        <v>0</v>
      </c>
      <c r="F15" t="n">
        <v>1</v>
      </c>
      <c r="G15" t="n">
        <v>40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4" customWidth="1" min="5" max="5"/>
    <col width="10" customWidth="1" min="6" max="6"/>
    <col width="14" customWidth="1" min="7" max="7"/>
    <col width="34" customWidth="1" min="8" max="8"/>
    <col width="18" customWidth="1" min="9" max="9"/>
  </cols>
  <sheetData>
    <row r="1">
      <c r="A1" s="1" t="inlineStr">
        <is>
          <t>PT 600 - Componentes do grupo e materialidade de componente (R$ mil)</t>
        </is>
      </c>
    </row>
    <row r="2">
      <c r="A2" t="inlineStr">
        <is>
          <t>Norma: NBC TA 600 (R2) itens 22-35, A80-A89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2" t="inlineStr">
        <is>
          <t>Componente</t>
        </is>
      </c>
      <c r="B5" s="2" t="inlineStr">
        <is>
          <t>Receita líquida</t>
        </is>
      </c>
      <c r="C5" s="2" t="inlineStr">
        <is>
          <t>Imobilizado operação</t>
        </is>
      </c>
      <c r="D5" s="2" t="inlineStr">
        <is>
          <t>Intangível</t>
        </is>
      </c>
      <c r="E5" s="2" t="inlineStr">
        <is>
          <t>ARO</t>
        </is>
      </c>
      <c r="F5" s="2" t="inlineStr">
        <is>
          <t>% receita</t>
        </is>
      </c>
      <c r="G5" s="2" t="inlineStr">
        <is>
          <t>% ativo total (imob.+intang.)</t>
        </is>
      </c>
      <c r="H5" s="2" t="inlineStr">
        <is>
          <t>Significativo?</t>
        </is>
      </c>
      <c r="I5" s="2" t="inlineStr">
        <is>
          <t>Materialidade do componente</t>
        </is>
      </c>
    </row>
    <row r="6">
      <c r="A6" t="inlineStr">
        <is>
          <t>Peregrino (Prio Tigris)</t>
        </is>
      </c>
      <c r="B6" s="8" t="n">
        <v>4477001</v>
      </c>
      <c r="C6" s="8" t="n">
        <v>13660479</v>
      </c>
      <c r="D6" s="8" t="n">
        <v>5066164</v>
      </c>
      <c r="E6" s="8" t="n">
        <v>2978159</v>
      </c>
      <c r="F6" s="7">
        <f>B6/15583960.0</f>
        <v/>
      </c>
      <c r="G6" s="7">
        <f>(C6+D6)/64179605.0</f>
        <v/>
      </c>
      <c r="H6">
        <f>IF(OR(F6&gt;0.15,G6&gt;0.15),"Sim - auditoria completa","Não - procedimentos específicos/analíticos")</f>
        <v/>
      </c>
      <c r="I6" s="9" t="n">
        <v>62000</v>
      </c>
    </row>
    <row r="7">
      <c r="A7" t="inlineStr">
        <is>
          <t>Frade + Wahoo (Prio Forte/Bravo)</t>
        </is>
      </c>
      <c r="B7" s="8" t="n">
        <v>4189133</v>
      </c>
      <c r="C7" s="8" t="n">
        <v>4041492</v>
      </c>
      <c r="D7" s="8" t="n">
        <v>1118107</v>
      </c>
      <c r="E7" s="8" t="n">
        <v>350213</v>
      </c>
      <c r="F7" s="7">
        <f>B7/15583960.0</f>
        <v/>
      </c>
      <c r="G7" s="7">
        <f>(C7+D7)/64179605.0</f>
        <v/>
      </c>
      <c r="H7">
        <f>IF(OR(F7&gt;0.15,G7&gt;0.15),"Sim - auditoria completa","Não - procedimentos específicos/analíticos")</f>
        <v/>
      </c>
      <c r="I7" s="9" t="n">
        <v>62000</v>
      </c>
    </row>
    <row r="8">
      <c r="A8" t="inlineStr">
        <is>
          <t>Albacora Leste (Prio Forte)</t>
        </is>
      </c>
      <c r="B8" s="8" t="n">
        <v>3411802</v>
      </c>
      <c r="C8" s="8" t="n">
        <v>1634056</v>
      </c>
      <c r="D8" s="8" t="n">
        <v>7033798</v>
      </c>
      <c r="E8" s="8" t="n">
        <v>1805585</v>
      </c>
      <c r="F8" s="7">
        <f>B8/15583960.0</f>
        <v/>
      </c>
      <c r="G8" s="7">
        <f>(C8+D8)/64179605.0</f>
        <v/>
      </c>
      <c r="H8">
        <f>IF(OR(F8&gt;0.15,G8&gt;0.15),"Sim - auditoria completa","Não - procedimentos específicos/analíticos")</f>
        <v/>
      </c>
      <c r="I8" s="9" t="n">
        <v>62000</v>
      </c>
    </row>
    <row r="9">
      <c r="A9" t="inlineStr">
        <is>
          <t>Polvo &amp; TBMT (Prio Bravo / Lux)</t>
        </is>
      </c>
      <c r="B9" s="8" t="n">
        <v>1751763</v>
      </c>
      <c r="C9" s="8" t="n">
        <v>1030644</v>
      </c>
      <c r="D9" s="8" t="n">
        <v>284218</v>
      </c>
      <c r="E9" s="8" t="n">
        <v>227236</v>
      </c>
      <c r="F9" s="7">
        <f>B9/15583960.0</f>
        <v/>
      </c>
      <c r="G9" s="7">
        <f>(C9+D9)/64179605.0</f>
        <v/>
      </c>
      <c r="H9">
        <f>IF(OR(F9&gt;0.15,G9&gt;0.15),"Sim - auditoria completa","Não - procedimentos específicos/analíticos")</f>
        <v/>
      </c>
      <c r="I9" s="9" t="n">
        <v>46000</v>
      </c>
    </row>
    <row r="10">
      <c r="A10" t="inlineStr">
        <is>
          <t>Trading (Lux Holding / PrioAustria / PrioOG)</t>
        </is>
      </c>
      <c r="B10" s="8" t="n">
        <v>1754261</v>
      </c>
      <c r="C10" s="8" t="n">
        <v>0</v>
      </c>
      <c r="D10" s="8" t="n">
        <v>0</v>
      </c>
      <c r="E10" s="8" t="n">
        <v>0</v>
      </c>
      <c r="F10" s="7">
        <f>B10/15583960.0</f>
        <v/>
      </c>
      <c r="G10" s="7">
        <f>(C10+D10)/64179605.0</f>
        <v/>
      </c>
      <c r="H10">
        <f>IF(OR(F10&gt;0.15,G10&gt;0.15),"Sim - auditoria completa","Não - procedimentos específicos/analíticos")</f>
        <v/>
      </c>
      <c r="I10" s="9" t="n">
        <v>46000</v>
      </c>
    </row>
    <row r="12">
      <c r="A12" t="inlineStr">
        <is>
          <t>Regra: materialidade de componente &lt; materialidade de execução do grupo (93.000); limite agregado coberto pela 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