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320_Material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3" borderId="0" pivotButton="0" quotePrefix="0" xfId="0"/>
    <xf numFmtId="10" fontId="0" fillId="3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0" customWidth="1" min="3" max="3"/>
    <col width="10" customWidth="1" min="4" max="4"/>
    <col width="16" customWidth="1" min="5" max="5"/>
    <col width="16" customWidth="1" min="6" max="6"/>
    <col width="11" customWidth="1" min="7" max="7"/>
    <col width="20" customWidth="1" min="8" max="8"/>
    <col width="11" customWidth="1" min="9" max="9"/>
  </cols>
  <sheetData>
    <row r="1">
      <c r="A1" s="1" t="inlineStr">
        <is>
          <t>PT 320 - Materialidade no planejamento e na execução</t>
        </is>
      </c>
    </row>
    <row r="2">
      <c r="A2" t="inlineStr">
        <is>
          <t>Norma: NBC TA 320 (R1), itens 10-14, A3-A13 | Preparador: Matrícula 231019943 | Data: 23/10/2026 | Revisão: ________ (campo em branco)</t>
        </is>
      </c>
    </row>
    <row r="3">
      <c r="A3" t="inlineStr">
        <is>
          <t>Células amarelas = premissas editáveis; demais valores são fórmulas.  Fonte: CVM Dados Abertos / DFP 2025.</t>
        </is>
      </c>
    </row>
    <row r="5">
      <c r="A5" s="2" t="inlineStr">
        <is>
          <t>Base de referência</t>
        </is>
      </c>
      <c r="B5" s="2" t="inlineStr">
        <is>
          <t>Valor 2025 (R$ mil)</t>
        </is>
      </c>
      <c r="C5" s="2" t="inlineStr">
        <is>
          <t>% mínimo</t>
        </is>
      </c>
      <c r="D5" s="2" t="inlineStr">
        <is>
          <t>% máximo</t>
        </is>
      </c>
      <c r="E5" s="2" t="inlineStr">
        <is>
          <t>Faixa mínima</t>
        </is>
      </c>
      <c r="F5" s="2" t="inlineStr">
        <is>
          <t>Faixa máxima</t>
        </is>
      </c>
      <c r="G5" s="2" t="inlineStr">
        <is>
          <t>% aplicado</t>
        </is>
      </c>
      <c r="H5" s="2" t="inlineStr">
        <is>
          <t>Materialidade calculada</t>
        </is>
      </c>
      <c r="I5" s="2" t="inlineStr">
        <is>
          <t>Escolhida?</t>
        </is>
      </c>
    </row>
    <row r="6">
      <c r="A6" t="inlineStr">
        <is>
          <t>Receita líquida (DRE 3.01)</t>
        </is>
      </c>
      <c r="B6" s="3" t="n">
        <v>15583960</v>
      </c>
      <c r="C6" s="4" t="n">
        <v>0.005</v>
      </c>
      <c r="D6" s="4" t="n">
        <v>0.01</v>
      </c>
      <c r="E6" s="5">
        <f>B6*C6</f>
        <v/>
      </c>
      <c r="F6" s="5">
        <f>B6*D6</f>
        <v/>
      </c>
      <c r="G6" s="4" t="n">
        <v>0.01</v>
      </c>
      <c r="H6" s="5">
        <f>B6*G6</f>
        <v/>
      </c>
      <c r="I6" t="inlineStr">
        <is>
          <t>SIM</t>
        </is>
      </c>
    </row>
    <row r="7">
      <c r="A7" t="inlineStr">
        <is>
          <t>EBITDA ajustado (3.05 + D&amp;A DFC 6.01.01.02 + outras desp. líquidas)</t>
        </is>
      </c>
      <c r="B7" s="3" t="n">
        <v>8157108</v>
      </c>
      <c r="C7" s="4" t="n">
        <v>0.01</v>
      </c>
      <c r="D7" s="4" t="n">
        <v>0.02</v>
      </c>
      <c r="E7" s="5">
        <f>B7*C7</f>
        <v/>
      </c>
      <c r="F7" s="5">
        <f>B7*D7</f>
        <v/>
      </c>
      <c r="G7" s="4" t="n">
        <v>0.02</v>
      </c>
      <c r="H7" s="5">
        <f>B7*G7</f>
        <v/>
      </c>
      <c r="I7" t="inlineStr">
        <is>
          <t>não</t>
        </is>
      </c>
    </row>
    <row r="8">
      <c r="A8" t="inlineStr">
        <is>
          <t>Ativo total (BP 1)</t>
        </is>
      </c>
      <c r="B8" s="3" t="n">
        <v>64179605</v>
      </c>
      <c r="C8" s="4" t="n">
        <v>0.0025</v>
      </c>
      <c r="D8" s="4" t="n">
        <v>0.005</v>
      </c>
      <c r="E8" s="5">
        <f>B8*C8</f>
        <v/>
      </c>
      <c r="F8" s="5">
        <f>B8*D8</f>
        <v/>
      </c>
      <c r="G8" s="4" t="n">
        <v>0.0025</v>
      </c>
      <c r="H8" s="5">
        <f>B8*G8</f>
        <v/>
      </c>
      <c r="I8" t="inlineStr">
        <is>
          <t>não</t>
        </is>
      </c>
    </row>
    <row r="9">
      <c r="A9" t="inlineStr">
        <is>
          <t>Patrimônio líquido (BP 2.03)</t>
        </is>
      </c>
      <c r="B9" s="3" t="n">
        <v>25779881</v>
      </c>
      <c r="C9" s="4" t="n">
        <v>0.005</v>
      </c>
      <c r="D9" s="4" t="n">
        <v>0.01</v>
      </c>
      <c r="E9" s="5">
        <f>B9*C9</f>
        <v/>
      </c>
      <c r="F9" s="5">
        <f>B9*D9</f>
        <v/>
      </c>
      <c r="G9" s="4" t="n">
        <v>0.005</v>
      </c>
      <c r="H9" s="5">
        <f>B9*G9</f>
        <v/>
      </c>
      <c r="I9" t="inlineStr">
        <is>
          <t>não</t>
        </is>
      </c>
    </row>
    <row r="10">
      <c r="A10" t="inlineStr">
        <is>
          <t>Lucro antes dos tributos (DRE 3.07) - descartada: negativo/volátil</t>
        </is>
      </c>
      <c r="B10" s="3" t="n">
        <v>-232613</v>
      </c>
      <c r="C10" s="4" t="n">
        <v>0.05</v>
      </c>
      <c r="D10" s="4" t="n">
        <v>0.05</v>
      </c>
      <c r="E10" s="5">
        <f>B10*C10</f>
        <v/>
      </c>
      <c r="F10" s="5">
        <f>B10*D10</f>
        <v/>
      </c>
      <c r="G10" s="4" t="n">
        <v>0.05</v>
      </c>
      <c r="H10" s="5">
        <f>B10*G10</f>
        <v/>
      </c>
      <c r="I10" t="inlineStr">
        <is>
          <t>não</t>
        </is>
      </c>
    </row>
    <row r="12">
      <c r="A12" s="6" t="inlineStr">
        <is>
          <t>Materialidade global calculada (base escolhida)</t>
        </is>
      </c>
      <c r="B12" s="5">
        <f>INDEX(H6:H10,MATCH("SIM",I6:I10,0))</f>
        <v/>
      </c>
    </row>
    <row r="13">
      <c r="A13" s="6" t="inlineStr">
        <is>
          <t>Materialidade global adotada (arredondada para baixo)</t>
        </is>
      </c>
      <c r="B13" s="5">
        <f>ROUNDDOWN(B12/5000,0)*5000</f>
        <v/>
      </c>
    </row>
    <row r="14">
      <c r="A14" s="6" t="inlineStr">
        <is>
          <t>% para materialidade de execução (auditoria inicial, aquisições, 1º ano do auditor)</t>
        </is>
      </c>
      <c r="B14" s="4" t="n">
        <v>0.6</v>
      </c>
    </row>
    <row r="15">
      <c r="A15" s="6" t="inlineStr">
        <is>
          <t>Materialidade para execução</t>
        </is>
      </c>
      <c r="B15" s="5">
        <f>B13*B14</f>
        <v/>
      </c>
    </row>
    <row r="16">
      <c r="A16" s="6" t="inlineStr">
        <is>
          <t>% limite de distorções claramente triviais</t>
        </is>
      </c>
      <c r="B16" s="4" t="n">
        <v>0.05</v>
      </c>
    </row>
    <row r="17">
      <c r="A17" s="6" t="inlineStr">
        <is>
          <t>Limite claramente trivial</t>
        </is>
      </c>
      <c r="B17" s="5">
        <f>B13*B16</f>
        <v/>
      </c>
    </row>
    <row r="18">
      <c r="A18" s="6" t="inlineStr">
        <is>
          <t>Distorção tolerável para testes do imobilizado (= execução)</t>
        </is>
      </c>
      <c r="B18" s="5">
        <f>B15</f>
        <v/>
      </c>
    </row>
    <row r="20">
      <c r="A20" s="6" t="inlineStr">
        <is>
          <t>Materialidades específicas (NBC TA 320 item 10)</t>
        </is>
      </c>
    </row>
    <row r="21">
      <c r="A21" t="inlineStr">
        <is>
          <t>Remuneração da administração e transações com partes relacionadas (NE 21)</t>
        </is>
      </c>
      <c r="B21" s="3" t="n">
        <v>1750</v>
      </c>
    </row>
    <row r="22">
      <c r="A22" t="inlineStr">
        <is>
          <t>Divulgação de passivos contingentes possíveis (NE 30)</t>
        </is>
      </c>
      <c r="B22" s="3" t="n">
        <v>77500</v>
      </c>
    </row>
    <row r="24">
      <c r="A24" t="inlineStr">
        <is>
          <t>Justificativa: a receita é estável e é o principal indicador para usuários de uma produtora de petróleo; o LAIR de 2025 é</t>
        </is>
      </c>
    </row>
    <row r="25">
      <c r="A25" t="inlineStr">
        <is>
          <t>negativo (R$ -232.613 mil) e distorcido por variação cambial e IR diferido, portanto inadequado como base (NBC TA 320 A4-A8).</t>
        </is>
      </c>
    </row>
    <row r="26">
      <c r="A26" t="inlineStr">
        <is>
          <t>Validação cruzada: 2% do EBITDA ajustado e 0,25% do ativo total ficam na faixa de R$ 160 mi, o que corrobora o valor adotado.</t>
        </is>
      </c>
    </row>
    <row r="27">
      <c r="A27" t="inlineStr">
        <is>
          <t>Revisão: reavaliar se o fechamento dos 20% de Peregrino ou mudança relevante no Brent alterar as bases (item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2026-10-24T15:46:18Z</dcterms:created>
  <dcterms:modified xmlns:dcterms="http://purl.org/dc/terms/" xmlns:xsi="http://www.w3.org/2001/XMLSchema-instance" xsi:type="dcterms:W3CDTF">2026-10-24T15:46:18Z</dcterms:modified>
</cp:coreProperties>
</file>